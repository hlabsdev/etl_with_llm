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vail\Projet plateforme\Ateliers Données\Données OLF\Denombrement FR\"/>
    </mc:Choice>
  </mc:AlternateContent>
  <xr:revisionPtr revIDLastSave="0" documentId="13_ncr:1_{2621CB78-ABA1-42CF-9260-0A07AC8997EE}" xr6:coauthVersionLast="47" xr6:coauthVersionMax="47" xr10:uidLastSave="{00000000-0000-0000-0000-000000000000}"/>
  <bookViews>
    <workbookView xWindow="-108" yWindow="-108" windowWidth="23256" windowHeight="13896" activeTab="1" xr2:uid="{9E14984E-16CD-42EB-BDDF-5B465BE1849D}"/>
  </bookViews>
  <sheets>
    <sheet name="Code ONU" sheetId="1" r:id="rId1"/>
    <sheet name="Nombre francoph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2" i="2"/>
</calcChain>
</file>

<file path=xl/sharedStrings.xml><?xml version="1.0" encoding="utf-8"?>
<sst xmlns="http://schemas.openxmlformats.org/spreadsheetml/2006/main" count="2678" uniqueCount="643">
  <si>
    <t>Pays ONU</t>
  </si>
  <si>
    <t>Code ONU</t>
  </si>
  <si>
    <t>ISO3 Alpha-code</t>
  </si>
  <si>
    <t>Region OLF</t>
  </si>
  <si>
    <t>Afghanistan</t>
  </si>
  <si>
    <t>AFG</t>
  </si>
  <si>
    <t>Asie</t>
  </si>
  <si>
    <t>Albania</t>
  </si>
  <si>
    <t>ALB</t>
  </si>
  <si>
    <t>Europe centrale et orientale</t>
  </si>
  <si>
    <t>Algeria</t>
  </si>
  <si>
    <t>DZA</t>
  </si>
  <si>
    <t>Afrique du Nord</t>
  </si>
  <si>
    <t>American Samoa</t>
  </si>
  <si>
    <t>ASM</t>
  </si>
  <si>
    <t>Océanie</t>
  </si>
  <si>
    <t>Andorra</t>
  </si>
  <si>
    <t>AND</t>
  </si>
  <si>
    <t>Europe occidentale</t>
  </si>
  <si>
    <t>Angola</t>
  </si>
  <si>
    <t>AGO</t>
  </si>
  <si>
    <t>Afrique centrale</t>
  </si>
  <si>
    <t>Anguilla</t>
  </si>
  <si>
    <t>AIA</t>
  </si>
  <si>
    <t>Caraïbes</t>
  </si>
  <si>
    <t>Antigua and Barbuda</t>
  </si>
  <si>
    <t>ATG</t>
  </si>
  <si>
    <t>Argentina</t>
  </si>
  <si>
    <t>ARG</t>
  </si>
  <si>
    <t>Amériques</t>
  </si>
  <si>
    <t>Armenia</t>
  </si>
  <si>
    <t>ARM</t>
  </si>
  <si>
    <t>Moyen-Orient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</si>
  <si>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</si>
  <si>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</si>
  <si>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</si>
  <si>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</si>
  <si>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</si>
  <si>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</si>
  <si>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</si>
  <si>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</si>
  <si>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</si>
  <si>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</si>
  <si>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</si>
  <si>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</si>
  <si>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</si>
  <si>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</si>
  <si>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</si>
  <si>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</si>
  <si>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</si>
  <si>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</si>
  <si>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</si>
  <si>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</si>
  <si>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</si>
  <si>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</si>
  <si>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</si>
  <si>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</si>
  <si>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Afrique de l'Ouest</t>
  </si>
  <si>
    <t>Bermuda</t>
  </si>
  <si>
    <t>BMU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</si>
  <si>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</si>
  <si>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</si>
  <si>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</si>
  <si>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</si>
  <si>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</si>
  <si>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</si>
  <si>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</si>
  <si>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</si>
  <si>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Afrique australe et Océan Indien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</si>
  <si>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</si>
  <si>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</si>
  <si>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</si>
  <si>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</si>
  <si>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</si>
  <si>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</si>
  <si>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</si>
  <si>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</si>
  <si>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</si>
  <si>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</si>
  <si>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</si>
  <si>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</si>
  <si>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Afrique de l'Est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</si>
  <si>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</si>
  <si>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</si>
  <si>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</si>
  <si>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</si>
  <si>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</si>
  <si>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</si>
  <si>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</si>
  <si>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</si>
  <si>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</si>
  <si>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</si>
  <si>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</si>
  <si>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</si>
  <si>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</si>
  <si>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</si>
  <si>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</si>
  <si>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</si>
  <si>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</si>
  <si>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</si>
  <si>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China, Hong Kong SAR</t>
  </si>
  <si>
    <t>HKG</t>
  </si>
  <si>
    <t>China, Macao SAR</t>
  </si>
  <si>
    <t>MAC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</si>
  <si>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</si>
  <si>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</si>
  <si>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</si>
  <si>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</si>
  <si>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</si>
  <si>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</si>
  <si>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</si>
  <si>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</si>
  <si>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</si>
  <si>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</si>
  <si>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</si>
  <si>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</si>
  <si>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</si>
  <si>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</si>
  <si>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</si>
  <si>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</si>
  <si>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</si>
  <si>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</si>
  <si>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</si>
  <si>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</si>
  <si>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</si>
  <si>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</si>
  <si>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</si>
  <si>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</si>
  <si>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</si>
  <si>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</si>
  <si>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</si>
  <si>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</si>
  <si>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</si>
  <si>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</si>
  <si>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</si>
  <si>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</si>
  <si>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</si>
  <si>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</si>
  <si>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</si>
  <si>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</si>
  <si>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</si>
  <si>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</si>
  <si>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</si>
  <si>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</si>
  <si>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</si>
  <si>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</si>
  <si>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</si>
  <si>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</si>
  <si>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</si>
  <si>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</si>
  <si>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</si>
  <si>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</si>
  <si>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</si>
  <si>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</si>
  <si>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</si>
  <si>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</si>
  <si>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</si>
  <si>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</si>
  <si>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</si>
  <si>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</si>
  <si>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</si>
  <si>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</si>
  <si>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</si>
  <si>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</si>
  <si>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</si>
  <si>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</si>
  <si>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</si>
  <si>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</si>
  <si>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</si>
  <si>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</si>
  <si>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</si>
  <si>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</si>
  <si>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</si>
  <si>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</si>
  <si>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</si>
  <si>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</si>
  <si>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</si>
  <si>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</si>
  <si>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</si>
  <si>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</si>
  <si>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</si>
  <si>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</si>
  <si>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</si>
  <si>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</si>
  <si>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</si>
  <si>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</si>
  <si>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</si>
  <si>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</si>
  <si>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</si>
  <si>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</si>
  <si>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</si>
  <si>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</si>
  <si>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</si>
  <si>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</si>
  <si>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</si>
  <si>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</si>
  <si>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</si>
  <si>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</si>
  <si>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</si>
  <si>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</si>
  <si>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</si>
  <si>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</si>
  <si>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</si>
  <si>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</si>
  <si>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</si>
  <si>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</si>
  <si>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</si>
  <si>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</si>
  <si>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</si>
  <si>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</si>
  <si>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</si>
  <si>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</si>
  <si>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</si>
  <si>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</si>
  <si>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</si>
  <si>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</si>
  <si>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</si>
  <si>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</si>
  <si>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</si>
  <si>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</si>
  <si>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</si>
  <si>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</si>
  <si>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</si>
  <si>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</si>
  <si>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</si>
  <si>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</si>
  <si>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</si>
  <si>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</si>
  <si>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</si>
  <si>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</si>
  <si>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</si>
  <si>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</si>
  <si>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</si>
  <si>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</si>
  <si>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</si>
  <si>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XKX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</si>
  <si>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</si>
  <si>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</si>
  <si>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</si>
  <si>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</si>
  <si>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</si>
  <si>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</si>
  <si>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</si>
  <si>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</si>
  <si>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</si>
  <si>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</si>
  <si>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</si>
  <si>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</si>
  <si>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</si>
  <si>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</si>
  <si>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</si>
  <si>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</si>
  <si>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</si>
  <si>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</si>
  <si>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</si>
  <si>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</si>
  <si>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</si>
  <si>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</si>
  <si>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</si>
  <si>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</si>
  <si>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</si>
  <si>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</si>
  <si>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</si>
  <si>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</si>
  <si>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</si>
  <si>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</si>
  <si>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</si>
  <si>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</si>
  <si>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</si>
  <si>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</si>
  <si>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</si>
  <si>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</si>
  <si>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</si>
  <si>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</si>
  <si>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</si>
  <si>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</si>
  <si>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</si>
  <si>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</si>
  <si>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</si>
  <si>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</si>
  <si>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</si>
  <si>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</si>
  <si>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(Fed.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</si>
  <si>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</si>
  <si>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</si>
  <si>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</si>
  <si>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</si>
  <si>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</si>
  <si>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</si>
  <si>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</si>
  <si>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</si>
  <si>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</si>
  <si>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</si>
  <si>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</si>
  <si>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</si>
  <si>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</si>
  <si>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</si>
  <si>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</si>
  <si>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</si>
  <si>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</si>
  <si>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</si>
  <si>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</si>
  <si>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</si>
  <si>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</si>
  <si>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</si>
  <si>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</si>
  <si>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</si>
  <si>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</si>
  <si>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</si>
  <si>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</si>
  <si>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</si>
  <si>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</si>
  <si>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</si>
  <si>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</si>
  <si>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</si>
  <si>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</si>
  <si>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</si>
  <si>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</si>
  <si>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</si>
  <si>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</si>
  <si>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</si>
  <si>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</si>
  <si>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</si>
  <si>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</si>
  <si>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</si>
  <si>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</si>
  <si>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</si>
  <si>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</si>
  <si>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</si>
  <si>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</si>
  <si>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</si>
  <si>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</si>
  <si>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</si>
  <si>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</si>
  <si>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</si>
  <si>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</si>
  <si>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</si>
  <si>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</si>
  <si>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</si>
  <si>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</si>
  <si>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</si>
  <si>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</si>
  <si>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</si>
  <si>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</si>
  <si>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</si>
  <si>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</si>
  <si>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</si>
  <si>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</si>
  <si>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</si>
  <si>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</si>
  <si>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</si>
  <si>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</si>
  <si>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</si>
  <si>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</si>
  <si>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</si>
  <si>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</si>
  <si>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</si>
  <si>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</si>
  <si>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</si>
  <si>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</si>
  <si>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</si>
  <si>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</si>
  <si>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</si>
  <si>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</si>
  <si>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</si>
  <si>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</si>
  <si>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</si>
  <si>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</si>
  <si>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</si>
  <si>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</si>
  <si>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</si>
  <si>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</si>
  <si>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</si>
  <si>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</si>
  <si>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</si>
  <si>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</si>
  <si>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</si>
  <si>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</si>
  <si>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</si>
  <si>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</si>
  <si>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</si>
  <si>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</si>
  <si>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</si>
  <si>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</si>
  <si>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</si>
  <si>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</si>
  <si>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</si>
  <si>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</si>
  <si>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</si>
  <si>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</si>
  <si>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</si>
  <si>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</si>
  <si>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</si>
  <si>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</si>
  <si>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</si>
  <si>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</si>
  <si>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</si>
  <si>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</si>
  <si>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</si>
  <si>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</si>
  <si>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</si>
  <si>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</si>
  <si>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</si>
  <si>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</si>
  <si>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</si>
  <si>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</si>
  <si>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</si>
  <si>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</si>
  <si>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</si>
  <si>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</si>
  <si>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</si>
  <si>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</si>
  <si>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</si>
  <si>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</si>
  <si>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</si>
  <si>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</si>
  <si>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</si>
  <si>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</si>
  <si>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</si>
  <si>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</si>
  <si>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</si>
  <si>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</si>
  <si>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</si>
  <si>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</si>
  <si>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</si>
  <si>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</si>
  <si>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</si>
  <si>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</si>
  <si>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</si>
  <si>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</si>
  <si>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</si>
  <si>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</si>
  <si>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</si>
  <si>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</si>
  <si>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</si>
  <si>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</si>
  <si>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</si>
  <si>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</si>
  <si>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</si>
  <si>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</si>
  <si>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</si>
  <si>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</si>
  <si>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</si>
  <si>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</si>
  <si>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</si>
  <si>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</si>
  <si>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</si>
  <si>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</si>
  <si>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</si>
  <si>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</si>
  <si>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</si>
  <si>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</si>
  <si>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</si>
  <si>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of America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</si>
  <si>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</si>
  <si>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</si>
  <si>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</si>
  <si>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</si>
  <si>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</si>
  <si>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</si>
  <si>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</si>
  <si>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</si>
  <si>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</si>
  <si>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</si>
  <si>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</si>
  <si>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</si>
  <si>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</si>
  <si>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</si>
  <si>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</si>
  <si>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Yemen</t>
  </si>
  <si>
    <t>YEM</t>
  </si>
  <si>
    <t>Zambia</t>
  </si>
  <si>
    <t>ZMB</t>
  </si>
  <si>
    <t>Zimbabwe</t>
  </si>
  <si>
    <t>ZWE</t>
  </si>
  <si>
    <t>Albanie</t>
  </si>
  <si>
    <t>Algérie</t>
  </si>
  <si>
    <t>Samoa américaines</t>
  </si>
  <si>
    <t>Andorre</t>
  </si>
  <si>
    <t>Antigua-et-Barbuda</t>
  </si>
  <si>
    <t>Argentine</t>
  </si>
  <si>
    <t>Arménie</t>
  </si>
  <si>
    <t>Australie</t>
  </si>
  <si>
    <t>Autriche</t>
  </si>
  <si>
    <t>Azerbaïdjan</t>
  </si>
  <si>
    <t>Bahreïn</t>
  </si>
  <si>
    <t>Barbade</t>
  </si>
  <si>
    <t>Bélarus</t>
  </si>
  <si>
    <t>Belgique</t>
  </si>
  <si>
    <t>Bénin</t>
  </si>
  <si>
    <t>Bermudes</t>
  </si>
  <si>
    <t>Bhoutan</t>
  </si>
  <si>
    <t>Bolivie</t>
  </si>
  <si>
    <t>Bosnie-Herzégovine</t>
  </si>
  <si>
    <t>Brésil</t>
  </si>
  <si>
    <t>Îles Vierges britanniques</t>
  </si>
  <si>
    <t>Brunéi Darussalam</t>
  </si>
  <si>
    <t>Bulgarie</t>
  </si>
  <si>
    <t>Cambodge</t>
  </si>
  <si>
    <t>Cameroun</t>
  </si>
  <si>
    <t>Îles Caïmanes</t>
  </si>
  <si>
    <t>Centrafrique</t>
  </si>
  <si>
    <t>Tchad</t>
  </si>
  <si>
    <t>Chili</t>
  </si>
  <si>
    <t>Chine</t>
  </si>
  <si>
    <t>Chine, Hong-Kong</t>
  </si>
  <si>
    <t>Chine, Macao</t>
  </si>
  <si>
    <t>Colombie</t>
  </si>
  <si>
    <t>Comores</t>
  </si>
  <si>
    <t>Îles Cook</t>
  </si>
  <si>
    <t>Côte d’Ivoire</t>
  </si>
  <si>
    <t>Croatie</t>
  </si>
  <si>
    <t>Chypre</t>
  </si>
  <si>
    <t>Tchéquie</t>
  </si>
  <si>
    <t>Corée du Sud</t>
  </si>
  <si>
    <t>Congo (République démocratique du)</t>
  </si>
  <si>
    <t>Danemark</t>
  </si>
  <si>
    <t>Dominique</t>
  </si>
  <si>
    <t>République dominicaine</t>
  </si>
  <si>
    <t>Équateur</t>
  </si>
  <si>
    <t>Égypte</t>
  </si>
  <si>
    <t>Guinée équatoriale</t>
  </si>
  <si>
    <t>Érythrée</t>
  </si>
  <si>
    <t>Estonie</t>
  </si>
  <si>
    <t>Éthiopie</t>
  </si>
  <si>
    <t>Îles Malouines</t>
  </si>
  <si>
    <t>Îles Féroé</t>
  </si>
  <si>
    <t>Fidji</t>
  </si>
  <si>
    <t>Finlande</t>
  </si>
  <si>
    <t>Guyane française</t>
  </si>
  <si>
    <t>Polynésie française</t>
  </si>
  <si>
    <t>Gambie</t>
  </si>
  <si>
    <t>Géorgie</t>
  </si>
  <si>
    <t>Allemagne</t>
  </si>
  <si>
    <t>Grèce</t>
  </si>
  <si>
    <t>Groenland</t>
  </si>
  <si>
    <t>Grenade</t>
  </si>
  <si>
    <t>Guinée</t>
  </si>
  <si>
    <t>Guinée-Bissau</t>
  </si>
  <si>
    <t>Haïti</t>
  </si>
  <si>
    <t>Hongrie</t>
  </si>
  <si>
    <t>Islande</t>
  </si>
  <si>
    <t>Inde</t>
  </si>
  <si>
    <t>Indonésie</t>
  </si>
  <si>
    <t>Iran</t>
  </si>
  <si>
    <t>Irlande</t>
  </si>
  <si>
    <t>Île de Man</t>
  </si>
  <si>
    <t>Israël</t>
  </si>
  <si>
    <t>Italie</t>
  </si>
  <si>
    <t>Jamaïque</t>
  </si>
  <si>
    <t>Japon</t>
  </si>
  <si>
    <t>Jordanie</t>
  </si>
  <si>
    <t>Koweït</t>
  </si>
  <si>
    <t>Kirghizistan</t>
  </si>
  <si>
    <t>Laos</t>
  </si>
  <si>
    <t>Lettonie</t>
  </si>
  <si>
    <t>Liban</t>
  </si>
  <si>
    <t>Libéria</t>
  </si>
  <si>
    <t>Libye</t>
  </si>
  <si>
    <t>Lituanie</t>
  </si>
  <si>
    <t>Malaisie</t>
  </si>
  <si>
    <t>Malte</t>
  </si>
  <si>
    <t>Îles Marshall</t>
  </si>
  <si>
    <t>Mauritanie</t>
  </si>
  <si>
    <t>Maurice</t>
  </si>
  <si>
    <t>Mexique</t>
  </si>
  <si>
    <t>Micronésie</t>
  </si>
  <si>
    <t>Mongolie</t>
  </si>
  <si>
    <t>Monténégro</t>
  </si>
  <si>
    <t>Maroc</t>
  </si>
  <si>
    <t>Namibie</t>
  </si>
  <si>
    <t>Népal</t>
  </si>
  <si>
    <t>Pays-Bas</t>
  </si>
  <si>
    <t>Nouvelle-Calédonie</t>
  </si>
  <si>
    <t>Nouvelle-Zélande</t>
  </si>
  <si>
    <t>Nigéria</t>
  </si>
  <si>
    <t>Nioué</t>
  </si>
  <si>
    <t>Macédoine du Nord</t>
  </si>
  <si>
    <t>Îles Mariannes du Nord</t>
  </si>
  <si>
    <t>Norvège</t>
  </si>
  <si>
    <t>Palaos</t>
  </si>
  <si>
    <t>Papouasie-Nouvelle-Guinée</t>
  </si>
  <si>
    <t>Pérou</t>
  </si>
  <si>
    <t>Pologne</t>
  </si>
  <si>
    <t>Porto Rico</t>
  </si>
  <si>
    <t>Moldavie</t>
  </si>
  <si>
    <t>Roumanie</t>
  </si>
  <si>
    <t>Fédération de Russie</t>
  </si>
  <si>
    <t>Saint-Barthélemy</t>
  </si>
  <si>
    <t>Sainte-Hélène</t>
  </si>
  <si>
    <t>Saint-Kitts-et-Nevis</t>
  </si>
  <si>
    <t>Sainte-Lucie</t>
  </si>
  <si>
    <t>Saint-Martin (FR)</t>
  </si>
  <si>
    <t>Saint-Pierre-et-Miquelon</t>
  </si>
  <si>
    <t>Saint-Marin</t>
  </si>
  <si>
    <t>Sao Tomé-et-Principe</t>
  </si>
  <si>
    <t>Arabie Saoudite</t>
  </si>
  <si>
    <t>Sénégal</t>
  </si>
  <si>
    <t>Serbie</t>
  </si>
  <si>
    <t>Singapour</t>
  </si>
  <si>
    <t>Saint-Martin (NED)</t>
  </si>
  <si>
    <t>Slovaquie</t>
  </si>
  <si>
    <t>Slovénie</t>
  </si>
  <si>
    <t>Îles Salomon</t>
  </si>
  <si>
    <t>Somalie</t>
  </si>
  <si>
    <t>Afrique du Sud</t>
  </si>
  <si>
    <t>Soudan du Sud</t>
  </si>
  <si>
    <t>Espagne</t>
  </si>
  <si>
    <t>État de Palestine</t>
  </si>
  <si>
    <t>Soudan</t>
  </si>
  <si>
    <t>Suède</t>
  </si>
  <si>
    <t>Suisse</t>
  </si>
  <si>
    <t>Syrie</t>
  </si>
  <si>
    <t>Tadjikistan</t>
  </si>
  <si>
    <t>Thaïlande</t>
  </si>
  <si>
    <t>Tokélaou</t>
  </si>
  <si>
    <t>Trinité-et-Tobago</t>
  </si>
  <si>
    <t>Tunisie</t>
  </si>
  <si>
    <t>Turquie</t>
  </si>
  <si>
    <t>Turkménistan</t>
  </si>
  <si>
    <t>Îles Turques-et-Caïques</t>
  </si>
  <si>
    <t>Ouganda</t>
  </si>
  <si>
    <t>Émirats Arabes Unis</t>
  </si>
  <si>
    <t>Royaume-Uni</t>
  </si>
  <si>
    <t>Tanzanie</t>
  </si>
  <si>
    <t>États-Unis d’Amérique</t>
  </si>
  <si>
    <t>Îles Vierges américaines</t>
  </si>
  <si>
    <t>Ouzbékistan</t>
  </si>
  <si>
    <t>Venezuela</t>
  </si>
  <si>
    <t>Îles Wallis-et-Futuna</t>
  </si>
  <si>
    <t>Yémen</t>
  </si>
  <si>
    <t>Zambie</t>
  </si>
  <si>
    <t>Nom Pays</t>
  </si>
  <si>
    <t>Pays</t>
  </si>
  <si>
    <t>Code ISO</t>
  </si>
  <si>
    <t>Année</t>
  </si>
  <si>
    <t>Poulation en milliers</t>
  </si>
  <si>
    <t>Nombre Francophones en milliers</t>
  </si>
  <si>
    <t>Pourcentage de Francophones</t>
  </si>
  <si>
    <t>Émirats arabes unis</t>
  </si>
  <si>
    <t>États-Unis d'Amérique</t>
  </si>
  <si>
    <t>République tchèque</t>
  </si>
  <si>
    <t>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</si>
</sst>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0.0%"/>
    <numFmt numFmtId="167" formatCode="_ * #,##0_)_ ;_ * \(#,##0\)_ ;_ * &quot;-&quot;??_)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164" fontId="0" fillId="0" borderId="0" xfId="2" applyNumberFormat="1" applyFont="1"/>
    <xf numFmtId="164" fontId="0" fillId="0" borderId="1" xfId="2" applyNumberFormat="1" applyFont="1" applyBorder="1"/>
    <xf numFmtId="164" fontId="2" fillId="0" borderId="1" xfId="2" applyNumberFormat="1" applyFont="1" applyBorder="1"/>
    <xf numFmtId="167" fontId="2" fillId="0" borderId="1" xfId="1" applyNumberFormat="1" applyFont="1" applyBorder="1"/>
    <xf numFmtId="167" fontId="0" fillId="0" borderId="1" xfId="1" applyNumberFormat="1" applyFont="1" applyBorder="1"/>
    <xf numFmtId="167" fontId="0" fillId="0" borderId="0" xfId="1" applyNumberFormat="1" applyFont="1"/>
  </cellXfs>
  <cellStyles count="4">
    <cellStyle name="Milliers" xfId="1" builtinId="3"/>
    <cellStyle name="Normal" xfId="0" builtinId="0"/>
    <cellStyle name="Normal 3" xfId="3" xr:uid="{DFAA0998-4ED7-4DB5-BA2D-4B2C51684625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18E6-9A8F-42C9-AD09-D4C5EF7358CA}">
  <dimension ref="A1:E231"/>
  <sheetViews>
    <sheetView topLeftCell="A203" workbookViewId="0">
      <selection activeCell="G6" sqref="G6"/>
    </sheetView>
  </sheetViews>
  <sheetFormatPr baseColWidth="10" defaultRowHeight="14.4" x14ac:dyDescent="0.3"/>
  <cols>
    <col min="1" max="5" width="30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632</v>
      </c>
      <c r="E1" s="2" t="s">
        <v>3</v>
      </c>
    </row>
    <row r="2" spans="1:5" x14ac:dyDescent="0.3">
      <c r="A2" s="1" t="s">
        <v>4</v>
      </c>
      <c r="B2" s="1">
        <v>4</v>
      </c>
      <c r="C2" s="1" t="s">
        <v>5</v>
      </c>
      <c r="D2" s="1" t="s">
        <v>4</v>
      </c>
      <c r="E2" s="1" t="s">
        <v>6</v>
      </c>
    </row>
    <row r="3" spans="1:5" x14ac:dyDescent="0.3">
      <c r="A3" s="1" t="s">
        <v>7</v>
      </c>
      <c r="B3" s="1">
        <v>8</v>
      </c>
      <c r="C3" s="1" t="s">
        <v>8</v>
      </c>
      <c r="D3" s="1" t="s">
        <v>475</v>
      </c>
      <c r="E3" s="1" t="s">
        <v>9</v>
      </c>
    </row>
    <row r="4" spans="1:5" x14ac:dyDescent="0.3">
      <c r="A4" s="1" t="s">
        <v>10</v>
      </c>
      <c r="B4" s="1">
        <v>12</v>
      </c>
      <c r="C4" s="1" t="s">
        <v>11</v>
      </c>
      <c r="D4" s="1" t="s">
        <v>476</v>
      </c>
      <c r="E4" s="1" t="s">
        <v>12</v>
      </c>
    </row>
    <row r="5" spans="1:5" x14ac:dyDescent="0.3">
      <c r="A5" s="1" t="s">
        <v>13</v>
      </c>
      <c r="B5" s="1">
        <v>16</v>
      </c>
      <c r="C5" s="1" t="s">
        <v>14</v>
      </c>
      <c r="D5" s="1" t="s">
        <v>477</v>
      </c>
      <c r="E5" s="1" t="s">
        <v>15</v>
      </c>
    </row>
    <row r="6" spans="1:5" x14ac:dyDescent="0.3">
      <c r="A6" s="1" t="s">
        <v>16</v>
      </c>
      <c r="B6" s="1">
        <v>20</v>
      </c>
      <c r="C6" s="1" t="s">
        <v>17</v>
      </c>
      <c r="D6" s="1" t="s">
        <v>478</v>
      </c>
      <c r="E6" s="1" t="s">
        <v>18</v>
      </c>
    </row>
    <row r="7" spans="1:5" x14ac:dyDescent="0.3">
      <c r="A7" s="1" t="s">
        <v>19</v>
      </c>
      <c r="B7" s="1">
        <v>24</v>
      </c>
      <c r="C7" s="1" t="s">
        <v>20</v>
      </c>
      <c r="D7" s="1" t="s">
        <v>19</v>
      </c>
      <c r="E7" s="1" t="s">
        <v>21</v>
      </c>
    </row>
    <row r="8" spans="1:5" x14ac:dyDescent="0.3">
      <c r="A8" s="1" t="s">
        <v>22</v>
      </c>
      <c r="B8" s="1">
        <v>660</v>
      </c>
      <c r="C8" s="1" t="s">
        <v>23</v>
      </c>
      <c r="D8" s="1" t="s">
        <v>22</v>
      </c>
      <c r="E8" s="1" t="s">
        <v>24</v>
      </c>
    </row>
    <row r="9" spans="1:5" x14ac:dyDescent="0.3">
      <c r="A9" s="1" t="s">
        <v>25</v>
      </c>
      <c r="B9" s="1">
        <v>28</v>
      </c>
      <c r="C9" s="1" t="s">
        <v>26</v>
      </c>
      <c r="D9" s="1" t="s">
        <v>479</v>
      </c>
      <c r="E9" s="1" t="s">
        <v>24</v>
      </c>
    </row>
    <row r="10" spans="1:5" x14ac:dyDescent="0.3">
      <c r="A10" s="1" t="s">
        <v>27</v>
      </c>
      <c r="B10" s="1">
        <v>32</v>
      </c>
      <c r="C10" s="1" t="s">
        <v>28</v>
      </c>
      <c r="D10" s="1" t="s">
        <v>480</v>
      </c>
      <c r="E10" s="1" t="s">
        <v>29</v>
      </c>
    </row>
    <row r="11" spans="1:5" x14ac:dyDescent="0.3">
      <c r="A11" s="1" t="s">
        <v>30</v>
      </c>
      <c r="B11" s="1">
        <v>51</v>
      </c>
      <c r="C11" s="1" t="s">
        <v>31</v>
      </c>
      <c r="D11" s="1" t="s">
        <v>481</v>
      </c>
      <c r="E11" s="1" t="s">
        <v>32</v>
      </c>
    </row>
    <row r="12" spans="1:5" x14ac:dyDescent="0.3">
      <c r="A12" s="1" t="s">
        <v>33</v>
      </c>
      <c r="B12" s="1">
        <v>533</v>
      </c>
      <c r="C12" s="1" t="s">
        <v>34</v>
      </c>
      <c r="D12" s="1" t="s">
        <v>33</v>
      </c>
      <c r="E12" s="1" t="s">
        <v>24</v>
      </c>
    </row>
    <row r="13" spans="1:5" x14ac:dyDescent="0.3">
      <c r="A13" s="1" t="s">
        <v>35</v>
      </c>
      <c r="B13" s="1">
        <v>36</v>
      </c>
      <c r="C13" s="1" t="s">
        <v>36</v>
      </c>
      <c r="D13" s="1" t="s">
        <v>482</v>
      </c>
      <c r="E13" s="1" t="s">
        <v>15</v>
      </c>
    </row>
    <row r="14" spans="1:5" x14ac:dyDescent="0.3">
      <c r="A14" s="1" t="s">
        <v>37</v>
      </c>
      <c r="B14" s="1">
        <v>40</v>
      </c>
      <c r="C14" s="1" t="s">
        <v>38</v>
      </c>
      <c r="D14" s="1" t="s">
        <v>483</v>
      </c>
      <c r="E14" s="1" t="s">
        <v>18</v>
      </c>
    </row>
    <row r="15" spans="1:5" x14ac:dyDescent="0.3">
      <c r="A15" s="1" t="s">
        <v>39</v>
      </c>
      <c r="B15" s="1">
        <v>31</v>
      </c>
      <c r="C15" s="1" t="s">
        <v>40</v>
      </c>
      <c r="D15" s="1" t="s">
        <v>484</v>
      </c>
      <c r="E15" s="1" t="s">
        <v>32</v>
      </c>
    </row>
    <row r="16" spans="1:5" x14ac:dyDescent="0.3">
      <c r="A16" s="1" t="s">
        <v>41</v>
      </c>
      <c r="B16" s="1">
        <v>44</v>
      </c>
      <c r="C16" s="1" t="s">
        <v>42</v>
      </c>
      <c r="D16" s="1" t="s">
        <v>41</v>
      </c>
      <c r="E16" s="1" t="s">
        <v>24</v>
      </c>
    </row>
    <row r="17" spans="1:5" x14ac:dyDescent="0.3">
      <c r="A17" s="1" t="s">
        <v>43</v>
      </c>
      <c r="B17" s="1">
        <v>48</v>
      </c>
      <c r="C17" s="1" t="s">
        <v>44</v>
      </c>
      <c r="D17" s="1" t="s">
        <v>485</v>
      </c>
      <c r="E17" s="1" t="s">
        <v>32</v>
      </c>
    </row>
    <row r="18" spans="1:5" x14ac:dyDescent="0.3">
      <c r="A18" s="1" t="s">
        <v>45</v>
      </c>
      <c r="B18" s="1">
        <v>50</v>
      </c>
      <c r="C18" s="1" t="s">
        <v>46</v>
      </c>
      <c r="D18" s="1" t="s">
        <v>45</v>
      </c>
      <c r="E18" s="1" t="s">
        <v>6</v>
      </c>
    </row>
    <row r="19" spans="1:5" x14ac:dyDescent="0.3">
      <c r="A19" s="1" t="s">
        <v>47</v>
      </c>
      <c r="B19" s="1">
        <v>52</v>
      </c>
      <c r="C19" s="1" t="s">
        <v>48</v>
      </c>
      <c r="D19" s="1" t="s">
        <v>486</v>
      </c>
      <c r="E19" s="1" t="s">
        <v>24</v>
      </c>
    </row>
    <row r="20" spans="1:5" x14ac:dyDescent="0.3">
      <c r="A20" s="1" t="s">
        <v>49</v>
      </c>
      <c r="B20" s="1">
        <v>112</v>
      </c>
      <c r="C20" s="1" t="s">
        <v>50</v>
      </c>
      <c r="D20" s="1" t="s">
        <v>487</v>
      </c>
      <c r="E20" s="1" t="s">
        <v>9</v>
      </c>
    </row>
    <row r="21" spans="1:5" x14ac:dyDescent="0.3">
      <c r="A21" s="1" t="s">
        <v>51</v>
      </c>
      <c r="B21" s="1">
        <v>56</v>
      </c>
      <c r="C21" s="1" t="s">
        <v>52</v>
      </c>
      <c r="D21" s="1" t="s">
        <v>488</v>
      </c>
      <c r="E21" s="1" t="s">
        <v>18</v>
      </c>
    </row>
    <row r="22" spans="1:5" x14ac:dyDescent="0.3">
      <c r="A22" s="1" t="s">
        <v>53</v>
      </c>
      <c r="B22" s="1">
        <v>84</v>
      </c>
      <c r="C22" s="1" t="s">
        <v>54</v>
      </c>
      <c r="D22" s="1" t="s">
        <v>53</v>
      </c>
      <c r="E22" s="1" t="s">
        <v>29</v>
      </c>
    </row>
    <row r="23" spans="1:5" x14ac:dyDescent="0.3">
      <c r="A23" s="1" t="s">
        <v>55</v>
      </c>
      <c r="B23" s="1">
        <v>204</v>
      </c>
      <c r="C23" s="1" t="s">
        <v>56</v>
      </c>
      <c r="D23" s="1" t="s">
        <v>489</v>
      </c>
      <c r="E23" s="1" t="s">
        <v>57</v>
      </c>
    </row>
    <row r="24" spans="1:5" x14ac:dyDescent="0.3">
      <c r="A24" s="1" t="s">
        <v>58</v>
      </c>
      <c r="B24" s="1">
        <v>60</v>
      </c>
      <c r="C24" s="1" t="s">
        <v>59</v>
      </c>
      <c r="D24" s="1" t="s">
        <v>490</v>
      </c>
      <c r="E24" s="1" t="s">
        <v>29</v>
      </c>
    </row>
    <row r="25" spans="1:5" x14ac:dyDescent="0.3">
      <c r="A25" s="1" t="s">
        <v>60</v>
      </c>
      <c r="B25" s="1">
        <v>64</v>
      </c>
      <c r="C25" s="1" t="s">
        <v>61</v>
      </c>
      <c r="D25" s="1" t="s">
        <v>491</v>
      </c>
      <c r="E25" s="1" t="s">
        <v>6</v>
      </c>
    </row>
    <row r="26" spans="1:5" x14ac:dyDescent="0.3">
      <c r="A26" s="1" t="s">
        <v>62</v>
      </c>
      <c r="B26" s="1">
        <v>68</v>
      </c>
      <c r="C26" s="1" t="s">
        <v>63</v>
      </c>
      <c r="D26" s="1" t="s">
        <v>492</v>
      </c>
      <c r="E26" s="1" t="s">
        <v>29</v>
      </c>
    </row>
    <row r="27" spans="1:5" x14ac:dyDescent="0.3">
      <c r="A27" s="1" t="s">
        <v>64</v>
      </c>
      <c r="B27" s="1">
        <v>70</v>
      </c>
      <c r="C27" s="1" t="s">
        <v>65</v>
      </c>
      <c r="D27" s="1" t="s">
        <v>493</v>
      </c>
      <c r="E27" s="1" t="s">
        <v>9</v>
      </c>
    </row>
    <row r="28" spans="1:5" x14ac:dyDescent="0.3">
      <c r="A28" s="1" t="s">
        <v>66</v>
      </c>
      <c r="B28" s="1">
        <v>72</v>
      </c>
      <c r="C28" s="1" t="s">
        <v>67</v>
      </c>
      <c r="D28" s="1" t="s">
        <v>66</v>
      </c>
      <c r="E28" s="1" t="s">
        <v>68</v>
      </c>
    </row>
    <row r="29" spans="1:5" x14ac:dyDescent="0.3">
      <c r="A29" s="1" t="s">
        <v>69</v>
      </c>
      <c r="B29" s="1">
        <v>76</v>
      </c>
      <c r="C29" s="1" t="s">
        <v>70</v>
      </c>
      <c r="D29" s="1" t="s">
        <v>494</v>
      </c>
      <c r="E29" s="1" t="s">
        <v>29</v>
      </c>
    </row>
    <row r="30" spans="1:5" x14ac:dyDescent="0.3">
      <c r="A30" s="1" t="s">
        <v>71</v>
      </c>
      <c r="B30" s="1">
        <v>92</v>
      </c>
      <c r="C30" s="1" t="s">
        <v>72</v>
      </c>
      <c r="D30" s="1" t="s">
        <v>495</v>
      </c>
      <c r="E30" s="1" t="s">
        <v>24</v>
      </c>
    </row>
    <row r="31" spans="1:5" x14ac:dyDescent="0.3">
      <c r="A31" s="1" t="s">
        <v>73</v>
      </c>
      <c r="B31" s="1">
        <v>96</v>
      </c>
      <c r="C31" s="1" t="s">
        <v>74</v>
      </c>
      <c r="D31" s="1" t="s">
        <v>496</v>
      </c>
      <c r="E31" s="1" t="s">
        <v>6</v>
      </c>
    </row>
    <row r="32" spans="1:5" x14ac:dyDescent="0.3">
      <c r="A32" s="1" t="s">
        <v>75</v>
      </c>
      <c r="B32" s="1">
        <v>100</v>
      </c>
      <c r="C32" s="1" t="s">
        <v>76</v>
      </c>
      <c r="D32" s="1" t="s">
        <v>497</v>
      </c>
      <c r="E32" s="1" t="s">
        <v>9</v>
      </c>
    </row>
    <row r="33" spans="1:5" x14ac:dyDescent="0.3">
      <c r="A33" s="1" t="s">
        <v>77</v>
      </c>
      <c r="B33" s="1">
        <v>854</v>
      </c>
      <c r="C33" s="1" t="s">
        <v>78</v>
      </c>
      <c r="D33" s="1" t="s">
        <v>77</v>
      </c>
      <c r="E33" s="1" t="s">
        <v>57</v>
      </c>
    </row>
    <row r="34" spans="1:5" x14ac:dyDescent="0.3">
      <c r="A34" s="1" t="s">
        <v>79</v>
      </c>
      <c r="B34" s="1">
        <v>108</v>
      </c>
      <c r="C34" s="1" t="s">
        <v>80</v>
      </c>
      <c r="D34" s="1" t="s">
        <v>79</v>
      </c>
      <c r="E34" s="1" t="s">
        <v>81</v>
      </c>
    </row>
    <row r="35" spans="1:5" x14ac:dyDescent="0.3">
      <c r="A35" s="1" t="s">
        <v>82</v>
      </c>
      <c r="B35" s="1">
        <v>132</v>
      </c>
      <c r="C35" s="1" t="s">
        <v>83</v>
      </c>
      <c r="D35" s="1" t="s">
        <v>82</v>
      </c>
      <c r="E35" s="1" t="s">
        <v>57</v>
      </c>
    </row>
    <row r="36" spans="1:5" x14ac:dyDescent="0.3">
      <c r="A36" s="1" t="s">
        <v>84</v>
      </c>
      <c r="B36" s="1">
        <v>116</v>
      </c>
      <c r="C36" s="1" t="s">
        <v>85</v>
      </c>
      <c r="D36" s="1" t="s">
        <v>498</v>
      </c>
      <c r="E36" s="1" t="s">
        <v>6</v>
      </c>
    </row>
    <row r="37" spans="1:5" x14ac:dyDescent="0.3">
      <c r="A37" s="1" t="s">
        <v>86</v>
      </c>
      <c r="B37" s="1">
        <v>120</v>
      </c>
      <c r="C37" s="1" t="s">
        <v>87</v>
      </c>
      <c r="D37" s="1" t="s">
        <v>499</v>
      </c>
      <c r="E37" s="1" t="s">
        <v>21</v>
      </c>
    </row>
    <row r="38" spans="1:5" x14ac:dyDescent="0.3">
      <c r="A38" s="1" t="s">
        <v>88</v>
      </c>
      <c r="B38" s="1">
        <v>124</v>
      </c>
      <c r="C38" s="1" t="s">
        <v>89</v>
      </c>
      <c r="D38" s="1" t="s">
        <v>88</v>
      </c>
      <c r="E38" s="1" t="s">
        <v>29</v>
      </c>
    </row>
    <row r="39" spans="1:5" x14ac:dyDescent="0.3">
      <c r="A39" s="1" t="s">
        <v>90</v>
      </c>
      <c r="B39" s="1">
        <v>136</v>
      </c>
      <c r="C39" s="1" t="s">
        <v>91</v>
      </c>
      <c r="D39" s="1" t="s">
        <v>500</v>
      </c>
      <c r="E39" s="1" t="s">
        <v>24</v>
      </c>
    </row>
    <row r="40" spans="1:5" x14ac:dyDescent="0.3">
      <c r="A40" s="1" t="s">
        <v>92</v>
      </c>
      <c r="B40" s="1">
        <v>140</v>
      </c>
      <c r="C40" s="1" t="s">
        <v>93</v>
      </c>
      <c r="D40" s="1" t="s">
        <v>501</v>
      </c>
      <c r="E40" s="1" t="s">
        <v>21</v>
      </c>
    </row>
    <row r="41" spans="1:5" x14ac:dyDescent="0.3">
      <c r="A41" s="1" t="s">
        <v>94</v>
      </c>
      <c r="B41" s="1">
        <v>148</v>
      </c>
      <c r="C41" s="1" t="s">
        <v>95</v>
      </c>
      <c r="D41" s="1" t="s">
        <v>502</v>
      </c>
      <c r="E41" s="1" t="s">
        <v>21</v>
      </c>
    </row>
    <row r="42" spans="1:5" x14ac:dyDescent="0.3">
      <c r="A42" s="1" t="s">
        <v>96</v>
      </c>
      <c r="B42" s="1">
        <v>152</v>
      </c>
      <c r="C42" s="1" t="s">
        <v>97</v>
      </c>
      <c r="D42" s="1" t="s">
        <v>503</v>
      </c>
      <c r="E42" s="1" t="s">
        <v>29</v>
      </c>
    </row>
    <row r="43" spans="1:5" x14ac:dyDescent="0.3">
      <c r="A43" s="1" t="s">
        <v>98</v>
      </c>
      <c r="B43" s="1">
        <v>156</v>
      </c>
      <c r="C43" s="1" t="s">
        <v>99</v>
      </c>
      <c r="D43" s="1" t="s">
        <v>504</v>
      </c>
      <c r="E43" s="1" t="s">
        <v>6</v>
      </c>
    </row>
    <row r="44" spans="1:5" x14ac:dyDescent="0.3">
      <c r="A44" s="1" t="s">
        <v>100</v>
      </c>
      <c r="B44" s="1">
        <v>344</v>
      </c>
      <c r="C44" s="1" t="s">
        <v>101</v>
      </c>
      <c r="D44" s="1" t="s">
        <v>505</v>
      </c>
      <c r="E44" s="1" t="s">
        <v>6</v>
      </c>
    </row>
    <row r="45" spans="1:5" x14ac:dyDescent="0.3">
      <c r="A45" s="1" t="s">
        <v>102</v>
      </c>
      <c r="B45" s="1">
        <v>446</v>
      </c>
      <c r="C45" s="1" t="s">
        <v>103</v>
      </c>
      <c r="D45" s="1" t="s">
        <v>506</v>
      </c>
      <c r="E45" s="1" t="s">
        <v>6</v>
      </c>
    </row>
    <row r="46" spans="1:5" x14ac:dyDescent="0.3">
      <c r="A46" s="1" t="s">
        <v>104</v>
      </c>
      <c r="B46" s="1">
        <v>170</v>
      </c>
      <c r="C46" s="1" t="s">
        <v>105</v>
      </c>
      <c r="D46" s="1" t="s">
        <v>507</v>
      </c>
      <c r="E46" s="1" t="s">
        <v>29</v>
      </c>
    </row>
    <row r="47" spans="1:5" x14ac:dyDescent="0.3">
      <c r="A47" s="1" t="s">
        <v>106</v>
      </c>
      <c r="B47" s="1">
        <v>174</v>
      </c>
      <c r="C47" s="1" t="s">
        <v>107</v>
      </c>
      <c r="D47" s="1" t="s">
        <v>508</v>
      </c>
      <c r="E47" s="1" t="s">
        <v>68</v>
      </c>
    </row>
    <row r="48" spans="1:5" x14ac:dyDescent="0.3">
      <c r="A48" s="1" t="s">
        <v>108</v>
      </c>
      <c r="B48" s="1">
        <v>178</v>
      </c>
      <c r="C48" s="1" t="s">
        <v>109</v>
      </c>
      <c r="D48" s="1" t="s">
        <v>108</v>
      </c>
      <c r="E48" s="1" t="s">
        <v>21</v>
      </c>
    </row>
    <row r="49" spans="1:5" x14ac:dyDescent="0.3">
      <c r="A49" s="1" t="s">
        <v>110</v>
      </c>
      <c r="B49" s="1">
        <v>184</v>
      </c>
      <c r="C49" s="1" t="s">
        <v>111</v>
      </c>
      <c r="D49" s="1" t="s">
        <v>509</v>
      </c>
      <c r="E49" s="1" t="s">
        <v>15</v>
      </c>
    </row>
    <row r="50" spans="1:5" x14ac:dyDescent="0.3">
      <c r="A50" s="1" t="s">
        <v>112</v>
      </c>
      <c r="B50" s="1">
        <v>188</v>
      </c>
      <c r="C50" s="1" t="s">
        <v>113</v>
      </c>
      <c r="D50" s="1" t="s">
        <v>112</v>
      </c>
      <c r="E50" s="1" t="s">
        <v>29</v>
      </c>
    </row>
    <row r="51" spans="1:5" x14ac:dyDescent="0.3">
      <c r="A51" s="1" t="s">
        <v>114</v>
      </c>
      <c r="B51" s="1">
        <v>384</v>
      </c>
      <c r="C51" s="1" t="s">
        <v>115</v>
      </c>
      <c r="D51" s="1" t="s">
        <v>510</v>
      </c>
      <c r="E51" s="1" t="s">
        <v>57</v>
      </c>
    </row>
    <row r="52" spans="1:5" x14ac:dyDescent="0.3">
      <c r="A52" s="1" t="s">
        <v>116</v>
      </c>
      <c r="B52" s="1">
        <v>191</v>
      </c>
      <c r="C52" s="1" t="s">
        <v>117</v>
      </c>
      <c r="D52" s="1" t="s">
        <v>511</v>
      </c>
      <c r="E52" s="1" t="s">
        <v>9</v>
      </c>
    </row>
    <row r="53" spans="1:5" x14ac:dyDescent="0.3">
      <c r="A53" s="1" t="s">
        <v>118</v>
      </c>
      <c r="B53" s="1">
        <v>192</v>
      </c>
      <c r="C53" s="1" t="s">
        <v>119</v>
      </c>
      <c r="D53" s="1" t="s">
        <v>118</v>
      </c>
      <c r="E53" s="1" t="s">
        <v>24</v>
      </c>
    </row>
    <row r="54" spans="1:5" x14ac:dyDescent="0.3">
      <c r="A54" s="1" t="s">
        <v>120</v>
      </c>
      <c r="B54" s="1">
        <v>531</v>
      </c>
      <c r="C54" s="1" t="s">
        <v>121</v>
      </c>
      <c r="D54" s="1" t="s">
        <v>120</v>
      </c>
      <c r="E54" s="1" t="s">
        <v>24</v>
      </c>
    </row>
    <row r="55" spans="1:5" x14ac:dyDescent="0.3">
      <c r="A55" s="1" t="s">
        <v>122</v>
      </c>
      <c r="B55" s="1">
        <v>196</v>
      </c>
      <c r="C55" s="1" t="s">
        <v>123</v>
      </c>
      <c r="D55" s="1" t="s">
        <v>512</v>
      </c>
      <c r="E55" s="1" t="s">
        <v>32</v>
      </c>
    </row>
    <row r="56" spans="1:5" x14ac:dyDescent="0.3">
      <c r="A56" s="1" t="s">
        <v>124</v>
      </c>
      <c r="B56" s="1">
        <v>203</v>
      </c>
      <c r="C56" s="1" t="s">
        <v>125</v>
      </c>
      <c r="D56" s="1" t="s">
        <v>513</v>
      </c>
      <c r="E56" s="1" t="s">
        <v>9</v>
      </c>
    </row>
    <row r="57" spans="1:5" x14ac:dyDescent="0.3">
      <c r="A57" s="1" t="s">
        <v>126</v>
      </c>
      <c r="B57" s="1">
        <v>410</v>
      </c>
      <c r="C57" s="1" t="s">
        <v>127</v>
      </c>
      <c r="D57" s="1" t="s">
        <v>514</v>
      </c>
      <c r="E57" s="1" t="s">
        <v>6</v>
      </c>
    </row>
    <row r="58" spans="1:5" x14ac:dyDescent="0.3">
      <c r="A58" s="1" t="s">
        <v>128</v>
      </c>
      <c r="B58" s="1">
        <v>180</v>
      </c>
      <c r="C58" s="1" t="s">
        <v>129</v>
      </c>
      <c r="D58" s="1" t="s">
        <v>515</v>
      </c>
      <c r="E58" s="1" t="s">
        <v>21</v>
      </c>
    </row>
    <row r="59" spans="1:5" x14ac:dyDescent="0.3">
      <c r="A59" s="1" t="s">
        <v>130</v>
      </c>
      <c r="B59" s="1">
        <v>208</v>
      </c>
      <c r="C59" s="1" t="s">
        <v>131</v>
      </c>
      <c r="D59" s="1" t="s">
        <v>516</v>
      </c>
      <c r="E59" s="1" t="s">
        <v>18</v>
      </c>
    </row>
    <row r="60" spans="1:5" x14ac:dyDescent="0.3">
      <c r="A60" s="1" t="s">
        <v>132</v>
      </c>
      <c r="B60" s="1">
        <v>262</v>
      </c>
      <c r="C60" s="1" t="s">
        <v>133</v>
      </c>
      <c r="D60" s="1" t="s">
        <v>132</v>
      </c>
      <c r="E60" s="1" t="s">
        <v>81</v>
      </c>
    </row>
    <row r="61" spans="1:5" x14ac:dyDescent="0.3">
      <c r="A61" s="1" t="s">
        <v>134</v>
      </c>
      <c r="B61" s="1">
        <v>212</v>
      </c>
      <c r="C61" s="1" t="s">
        <v>135</v>
      </c>
      <c r="D61" s="1" t="s">
        <v>517</v>
      </c>
      <c r="E61" s="1" t="s">
        <v>24</v>
      </c>
    </row>
    <row r="62" spans="1:5" x14ac:dyDescent="0.3">
      <c r="A62" s="1" t="s">
        <v>136</v>
      </c>
      <c r="B62" s="1">
        <v>214</v>
      </c>
      <c r="C62" s="1" t="s">
        <v>137</v>
      </c>
      <c r="D62" s="1" t="s">
        <v>518</v>
      </c>
      <c r="E62" s="1" t="s">
        <v>24</v>
      </c>
    </row>
    <row r="63" spans="1:5" x14ac:dyDescent="0.3">
      <c r="A63" s="1" t="s">
        <v>138</v>
      </c>
      <c r="B63" s="1">
        <v>218</v>
      </c>
      <c r="C63" s="1" t="s">
        <v>139</v>
      </c>
      <c r="D63" s="1" t="s">
        <v>519</v>
      </c>
      <c r="E63" s="1" t="s">
        <v>29</v>
      </c>
    </row>
    <row r="64" spans="1:5" x14ac:dyDescent="0.3">
      <c r="A64" s="1" t="s">
        <v>140</v>
      </c>
      <c r="B64" s="1">
        <v>818</v>
      </c>
      <c r="C64" s="1" t="s">
        <v>141</v>
      </c>
      <c r="D64" s="1" t="s">
        <v>520</v>
      </c>
      <c r="E64" s="1" t="s">
        <v>12</v>
      </c>
    </row>
    <row r="65" spans="1:5" x14ac:dyDescent="0.3">
      <c r="A65" s="1" t="s">
        <v>142</v>
      </c>
      <c r="B65" s="1">
        <v>222</v>
      </c>
      <c r="C65" s="1" t="s">
        <v>143</v>
      </c>
      <c r="D65" s="1" t="s">
        <v>142</v>
      </c>
      <c r="E65" s="1" t="s">
        <v>29</v>
      </c>
    </row>
    <row r="66" spans="1:5" x14ac:dyDescent="0.3">
      <c r="A66" s="1" t="s">
        <v>144</v>
      </c>
      <c r="B66" s="1">
        <v>226</v>
      </c>
      <c r="C66" s="1" t="s">
        <v>145</v>
      </c>
      <c r="D66" s="1" t="s">
        <v>521</v>
      </c>
      <c r="E66" s="1" t="s">
        <v>21</v>
      </c>
    </row>
    <row r="67" spans="1:5" x14ac:dyDescent="0.3">
      <c r="A67" s="1" t="s">
        <v>146</v>
      </c>
      <c r="B67" s="1">
        <v>232</v>
      </c>
      <c r="C67" s="1" t="s">
        <v>147</v>
      </c>
      <c r="D67" s="1" t="s">
        <v>522</v>
      </c>
      <c r="E67" s="1" t="s">
        <v>81</v>
      </c>
    </row>
    <row r="68" spans="1:5" x14ac:dyDescent="0.3">
      <c r="A68" s="1" t="s">
        <v>148</v>
      </c>
      <c r="B68" s="1">
        <v>233</v>
      </c>
      <c r="C68" s="1" t="s">
        <v>149</v>
      </c>
      <c r="D68" s="1" t="s">
        <v>523</v>
      </c>
      <c r="E68" s="1" t="s">
        <v>18</v>
      </c>
    </row>
    <row r="69" spans="1:5" x14ac:dyDescent="0.3">
      <c r="A69" s="1" t="s">
        <v>150</v>
      </c>
      <c r="B69" s="1">
        <v>748</v>
      </c>
      <c r="C69" s="1" t="s">
        <v>151</v>
      </c>
      <c r="D69" s="1" t="s">
        <v>150</v>
      </c>
      <c r="E69" s="1" t="s">
        <v>68</v>
      </c>
    </row>
    <row r="70" spans="1:5" x14ac:dyDescent="0.3">
      <c r="A70" s="1" t="s">
        <v>152</v>
      </c>
      <c r="B70" s="1">
        <v>231</v>
      </c>
      <c r="C70" s="1" t="s">
        <v>153</v>
      </c>
      <c r="D70" s="1" t="s">
        <v>524</v>
      </c>
      <c r="E70" s="1" t="s">
        <v>81</v>
      </c>
    </row>
    <row r="71" spans="1:5" x14ac:dyDescent="0.3">
      <c r="A71" s="1" t="s">
        <v>154</v>
      </c>
      <c r="B71" s="1">
        <v>238</v>
      </c>
      <c r="C71" s="1" t="s">
        <v>155</v>
      </c>
      <c r="D71" s="1" t="s">
        <v>525</v>
      </c>
      <c r="E71" s="1" t="s">
        <v>29</v>
      </c>
    </row>
    <row r="72" spans="1:5" x14ac:dyDescent="0.3">
      <c r="A72" s="1" t="s">
        <v>156</v>
      </c>
      <c r="B72" s="1">
        <v>234</v>
      </c>
      <c r="C72" s="1" t="s">
        <v>157</v>
      </c>
      <c r="D72" s="1" t="s">
        <v>526</v>
      </c>
      <c r="E72" s="1" t="s">
        <v>18</v>
      </c>
    </row>
    <row r="73" spans="1:5" x14ac:dyDescent="0.3">
      <c r="A73" s="1" t="s">
        <v>158</v>
      </c>
      <c r="B73" s="1">
        <v>242</v>
      </c>
      <c r="C73" s="1" t="s">
        <v>159</v>
      </c>
      <c r="D73" s="1" t="s">
        <v>527</v>
      </c>
      <c r="E73" s="1" t="s">
        <v>15</v>
      </c>
    </row>
    <row r="74" spans="1:5" x14ac:dyDescent="0.3">
      <c r="A74" s="1" t="s">
        <v>160</v>
      </c>
      <c r="B74" s="1">
        <v>246</v>
      </c>
      <c r="C74" s="1" t="s">
        <v>161</v>
      </c>
      <c r="D74" s="1" t="s">
        <v>528</v>
      </c>
      <c r="E74" s="1" t="s">
        <v>18</v>
      </c>
    </row>
    <row r="75" spans="1:5" x14ac:dyDescent="0.3">
      <c r="A75" s="1" t="s">
        <v>162</v>
      </c>
      <c r="B75" s="1">
        <v>250</v>
      </c>
      <c r="C75" s="1" t="s">
        <v>163</v>
      </c>
      <c r="D75" s="1" t="s">
        <v>162</v>
      </c>
      <c r="E75" s="1" t="s">
        <v>18</v>
      </c>
    </row>
    <row r="76" spans="1:5" x14ac:dyDescent="0.3">
      <c r="A76" s="1" t="s">
        <v>164</v>
      </c>
      <c r="B76" s="1">
        <v>254</v>
      </c>
      <c r="C76" s="1" t="s">
        <v>165</v>
      </c>
      <c r="D76" s="1" t="s">
        <v>529</v>
      </c>
      <c r="E76" s="1" t="s">
        <v>29</v>
      </c>
    </row>
    <row r="77" spans="1:5" x14ac:dyDescent="0.3">
      <c r="A77" s="1" t="s">
        <v>166</v>
      </c>
      <c r="B77" s="1">
        <v>258</v>
      </c>
      <c r="C77" s="1" t="s">
        <v>167</v>
      </c>
      <c r="D77" s="1" t="s">
        <v>530</v>
      </c>
      <c r="E77" s="1" t="s">
        <v>15</v>
      </c>
    </row>
    <row r="78" spans="1:5" x14ac:dyDescent="0.3">
      <c r="A78" s="1" t="s">
        <v>168</v>
      </c>
      <c r="B78" s="1">
        <v>266</v>
      </c>
      <c r="C78" s="1" t="s">
        <v>169</v>
      </c>
      <c r="D78" s="1" t="s">
        <v>168</v>
      </c>
      <c r="E78" s="1" t="s">
        <v>21</v>
      </c>
    </row>
    <row r="79" spans="1:5" x14ac:dyDescent="0.3">
      <c r="A79" s="1" t="s">
        <v>170</v>
      </c>
      <c r="B79" s="1">
        <v>270</v>
      </c>
      <c r="C79" s="1" t="s">
        <v>171</v>
      </c>
      <c r="D79" s="1" t="s">
        <v>531</v>
      </c>
      <c r="E79" s="1" t="s">
        <v>57</v>
      </c>
    </row>
    <row r="80" spans="1:5" x14ac:dyDescent="0.3">
      <c r="A80" s="1" t="s">
        <v>172</v>
      </c>
      <c r="B80" s="1">
        <v>268</v>
      </c>
      <c r="C80" s="1" t="s">
        <v>173</v>
      </c>
      <c r="D80" s="1" t="s">
        <v>532</v>
      </c>
      <c r="E80" s="1" t="s">
        <v>32</v>
      </c>
    </row>
    <row r="81" spans="1:5" x14ac:dyDescent="0.3">
      <c r="A81" s="1" t="s">
        <v>174</v>
      </c>
      <c r="B81" s="1">
        <v>276</v>
      </c>
      <c r="C81" s="1" t="s">
        <v>175</v>
      </c>
      <c r="D81" s="1" t="s">
        <v>533</v>
      </c>
      <c r="E81" s="1" t="s">
        <v>18</v>
      </c>
    </row>
    <row r="82" spans="1:5" x14ac:dyDescent="0.3">
      <c r="A82" s="1" t="s">
        <v>176</v>
      </c>
      <c r="B82" s="1">
        <v>288</v>
      </c>
      <c r="C82" s="1" t="s">
        <v>177</v>
      </c>
      <c r="D82" s="1" t="s">
        <v>176</v>
      </c>
      <c r="E82" s="1" t="s">
        <v>57</v>
      </c>
    </row>
    <row r="83" spans="1:5" x14ac:dyDescent="0.3">
      <c r="A83" s="1" t="s">
        <v>178</v>
      </c>
      <c r="B83" s="1">
        <v>292</v>
      </c>
      <c r="C83" s="1" t="s">
        <v>179</v>
      </c>
      <c r="D83" s="1" t="s">
        <v>178</v>
      </c>
      <c r="E83" s="1" t="s">
        <v>18</v>
      </c>
    </row>
    <row r="84" spans="1:5" x14ac:dyDescent="0.3">
      <c r="A84" s="1" t="s">
        <v>180</v>
      </c>
      <c r="B84" s="1">
        <v>300</v>
      </c>
      <c r="C84" s="1" t="s">
        <v>181</v>
      </c>
      <c r="D84" s="1" t="s">
        <v>534</v>
      </c>
      <c r="E84" s="1" t="s">
        <v>18</v>
      </c>
    </row>
    <row r="85" spans="1:5" x14ac:dyDescent="0.3">
      <c r="A85" s="1" t="s">
        <v>182</v>
      </c>
      <c r="B85" s="1">
        <v>304</v>
      </c>
      <c r="C85" s="1" t="s">
        <v>183</v>
      </c>
      <c r="D85" s="1" t="s">
        <v>535</v>
      </c>
      <c r="E85" s="1" t="s">
        <v>29</v>
      </c>
    </row>
    <row r="86" spans="1:5" x14ac:dyDescent="0.3">
      <c r="A86" s="1" t="s">
        <v>184</v>
      </c>
      <c r="B86" s="1">
        <v>308</v>
      </c>
      <c r="C86" s="1" t="s">
        <v>185</v>
      </c>
      <c r="D86" s="1" t="s">
        <v>536</v>
      </c>
      <c r="E86" s="1" t="s">
        <v>24</v>
      </c>
    </row>
    <row r="87" spans="1:5" x14ac:dyDescent="0.3">
      <c r="A87" s="1" t="s">
        <v>186</v>
      </c>
      <c r="B87" s="1">
        <v>312</v>
      </c>
      <c r="C87" s="1" t="s">
        <v>187</v>
      </c>
      <c r="D87" s="1" t="s">
        <v>186</v>
      </c>
      <c r="E87" s="1" t="s">
        <v>24</v>
      </c>
    </row>
    <row r="88" spans="1:5" x14ac:dyDescent="0.3">
      <c r="A88" s="1" t="s">
        <v>188</v>
      </c>
      <c r="B88" s="1">
        <v>316</v>
      </c>
      <c r="C88" s="1" t="s">
        <v>189</v>
      </c>
      <c r="D88" s="1" t="s">
        <v>188</v>
      </c>
      <c r="E88" s="1" t="s">
        <v>15</v>
      </c>
    </row>
    <row r="89" spans="1:5" x14ac:dyDescent="0.3">
      <c r="A89" s="1" t="s">
        <v>190</v>
      </c>
      <c r="B89" s="1">
        <v>320</v>
      </c>
      <c r="C89" s="1" t="s">
        <v>191</v>
      </c>
      <c r="D89" s="1" t="s">
        <v>190</v>
      </c>
      <c r="E89" s="1" t="s">
        <v>29</v>
      </c>
    </row>
    <row r="90" spans="1:5" x14ac:dyDescent="0.3">
      <c r="A90" s="1" t="s">
        <v>192</v>
      </c>
      <c r="B90" s="1">
        <v>324</v>
      </c>
      <c r="C90" s="1" t="s">
        <v>193</v>
      </c>
      <c r="D90" s="1" t="s">
        <v>537</v>
      </c>
      <c r="E90" s="1" t="s">
        <v>57</v>
      </c>
    </row>
    <row r="91" spans="1:5" x14ac:dyDescent="0.3">
      <c r="A91" s="1" t="s">
        <v>194</v>
      </c>
      <c r="B91" s="1">
        <v>624</v>
      </c>
      <c r="C91" s="1" t="s">
        <v>195</v>
      </c>
      <c r="D91" s="1" t="s">
        <v>538</v>
      </c>
      <c r="E91" s="1" t="s">
        <v>57</v>
      </c>
    </row>
    <row r="92" spans="1:5" x14ac:dyDescent="0.3">
      <c r="A92" s="1" t="s">
        <v>196</v>
      </c>
      <c r="B92" s="1">
        <v>328</v>
      </c>
      <c r="C92" s="1" t="s">
        <v>197</v>
      </c>
      <c r="D92" s="1" t="s">
        <v>196</v>
      </c>
      <c r="E92" s="1" t="s">
        <v>29</v>
      </c>
    </row>
    <row r="93" spans="1:5" x14ac:dyDescent="0.3">
      <c r="A93" s="1" t="s">
        <v>198</v>
      </c>
      <c r="B93" s="1">
        <v>332</v>
      </c>
      <c r="C93" s="1" t="s">
        <v>199</v>
      </c>
      <c r="D93" s="1" t="s">
        <v>539</v>
      </c>
      <c r="E93" s="1" t="s">
        <v>24</v>
      </c>
    </row>
    <row r="94" spans="1:5" x14ac:dyDescent="0.3">
      <c r="A94" s="1" t="s">
        <v>200</v>
      </c>
      <c r="B94" s="1">
        <v>340</v>
      </c>
      <c r="C94" s="1" t="s">
        <v>201</v>
      </c>
      <c r="D94" s="1" t="s">
        <v>200</v>
      </c>
      <c r="E94" s="1" t="s">
        <v>29</v>
      </c>
    </row>
    <row r="95" spans="1:5" x14ac:dyDescent="0.3">
      <c r="A95" s="1" t="s">
        <v>202</v>
      </c>
      <c r="B95" s="1">
        <v>348</v>
      </c>
      <c r="C95" s="1" t="s">
        <v>203</v>
      </c>
      <c r="D95" s="1" t="s">
        <v>540</v>
      </c>
      <c r="E95" s="1" t="s">
        <v>9</v>
      </c>
    </row>
    <row r="96" spans="1:5" x14ac:dyDescent="0.3">
      <c r="A96" s="1" t="s">
        <v>204</v>
      </c>
      <c r="B96" s="1">
        <v>352</v>
      </c>
      <c r="C96" s="1" t="s">
        <v>205</v>
      </c>
      <c r="D96" s="1" t="s">
        <v>541</v>
      </c>
      <c r="E96" s="1" t="s">
        <v>18</v>
      </c>
    </row>
    <row r="97" spans="1:5" x14ac:dyDescent="0.3">
      <c r="A97" s="1" t="s">
        <v>206</v>
      </c>
      <c r="B97" s="1">
        <v>356</v>
      </c>
      <c r="C97" s="1" t="s">
        <v>207</v>
      </c>
      <c r="D97" s="1" t="s">
        <v>542</v>
      </c>
      <c r="E97" s="1" t="s">
        <v>6</v>
      </c>
    </row>
    <row r="98" spans="1:5" x14ac:dyDescent="0.3">
      <c r="A98" s="1" t="s">
        <v>208</v>
      </c>
      <c r="B98" s="1">
        <v>360</v>
      </c>
      <c r="C98" s="1" t="s">
        <v>209</v>
      </c>
      <c r="D98" s="1" t="s">
        <v>543</v>
      </c>
      <c r="E98" s="1" t="s">
        <v>6</v>
      </c>
    </row>
    <row r="99" spans="1:5" x14ac:dyDescent="0.3">
      <c r="A99" s="1" t="s">
        <v>210</v>
      </c>
      <c r="B99" s="1">
        <v>364</v>
      </c>
      <c r="C99" s="1" t="s">
        <v>211</v>
      </c>
      <c r="D99" s="1" t="s">
        <v>544</v>
      </c>
      <c r="E99" s="1" t="s">
        <v>6</v>
      </c>
    </row>
    <row r="100" spans="1:5" x14ac:dyDescent="0.3">
      <c r="A100" s="1" t="s">
        <v>212</v>
      </c>
      <c r="B100" s="1">
        <v>368</v>
      </c>
      <c r="C100" s="1" t="s">
        <v>213</v>
      </c>
      <c r="D100" s="1" t="s">
        <v>212</v>
      </c>
      <c r="E100" s="1" t="s">
        <v>32</v>
      </c>
    </row>
    <row r="101" spans="1:5" x14ac:dyDescent="0.3">
      <c r="A101" s="1" t="s">
        <v>214</v>
      </c>
      <c r="B101" s="1">
        <v>372</v>
      </c>
      <c r="C101" s="1" t="s">
        <v>215</v>
      </c>
      <c r="D101" s="1" t="s">
        <v>545</v>
      </c>
      <c r="E101" s="1" t="s">
        <v>18</v>
      </c>
    </row>
    <row r="102" spans="1:5" x14ac:dyDescent="0.3">
      <c r="A102" s="1" t="s">
        <v>216</v>
      </c>
      <c r="B102" s="1">
        <v>833</v>
      </c>
      <c r="C102" s="1" t="s">
        <v>217</v>
      </c>
      <c r="D102" s="1" t="s">
        <v>546</v>
      </c>
      <c r="E102" s="1" t="s">
        <v>18</v>
      </c>
    </row>
    <row r="103" spans="1:5" x14ac:dyDescent="0.3">
      <c r="A103" s="1" t="s">
        <v>218</v>
      </c>
      <c r="B103" s="1">
        <v>376</v>
      </c>
      <c r="C103" s="1" t="s">
        <v>219</v>
      </c>
      <c r="D103" s="1" t="s">
        <v>547</v>
      </c>
      <c r="E103" s="1" t="s">
        <v>32</v>
      </c>
    </row>
    <row r="104" spans="1:5" x14ac:dyDescent="0.3">
      <c r="A104" s="1" t="s">
        <v>220</v>
      </c>
      <c r="B104" s="1">
        <v>380</v>
      </c>
      <c r="C104" s="1" t="s">
        <v>221</v>
      </c>
      <c r="D104" s="1" t="s">
        <v>548</v>
      </c>
      <c r="E104" s="1" t="s">
        <v>18</v>
      </c>
    </row>
    <row r="105" spans="1:5" x14ac:dyDescent="0.3">
      <c r="A105" s="1" t="s">
        <v>222</v>
      </c>
      <c r="B105" s="1">
        <v>388</v>
      </c>
      <c r="C105" s="1" t="s">
        <v>223</v>
      </c>
      <c r="D105" s="1" t="s">
        <v>549</v>
      </c>
      <c r="E105" s="1" t="s">
        <v>24</v>
      </c>
    </row>
    <row r="106" spans="1:5" x14ac:dyDescent="0.3">
      <c r="A106" s="1" t="s">
        <v>224</v>
      </c>
      <c r="B106" s="1">
        <v>392</v>
      </c>
      <c r="C106" s="1" t="s">
        <v>225</v>
      </c>
      <c r="D106" s="1" t="s">
        <v>550</v>
      </c>
      <c r="E106" s="1" t="s">
        <v>6</v>
      </c>
    </row>
    <row r="107" spans="1:5" x14ac:dyDescent="0.3">
      <c r="A107" s="1" t="s">
        <v>226</v>
      </c>
      <c r="B107" s="1">
        <v>400</v>
      </c>
      <c r="C107" s="1" t="s">
        <v>227</v>
      </c>
      <c r="D107" s="1" t="s">
        <v>551</v>
      </c>
      <c r="E107" s="1" t="s">
        <v>32</v>
      </c>
    </row>
    <row r="108" spans="1:5" x14ac:dyDescent="0.3">
      <c r="A108" s="1" t="s">
        <v>228</v>
      </c>
      <c r="B108" s="1">
        <v>398</v>
      </c>
      <c r="C108" s="1" t="s">
        <v>229</v>
      </c>
      <c r="D108" s="1" t="s">
        <v>228</v>
      </c>
      <c r="E108" s="1" t="s">
        <v>6</v>
      </c>
    </row>
    <row r="109" spans="1:5" x14ac:dyDescent="0.3">
      <c r="A109" s="1" t="s">
        <v>230</v>
      </c>
      <c r="B109" s="1">
        <v>404</v>
      </c>
      <c r="C109" s="1" t="s">
        <v>231</v>
      </c>
      <c r="D109" s="1" t="s">
        <v>230</v>
      </c>
      <c r="E109" s="1" t="s">
        <v>81</v>
      </c>
    </row>
    <row r="110" spans="1:5" x14ac:dyDescent="0.3">
      <c r="A110" s="1" t="s">
        <v>232</v>
      </c>
      <c r="B110" s="1">
        <v>296</v>
      </c>
      <c r="C110" s="1" t="s">
        <v>233</v>
      </c>
      <c r="D110" s="1" t="s">
        <v>232</v>
      </c>
      <c r="E110" s="1" t="s">
        <v>15</v>
      </c>
    </row>
    <row r="111" spans="1:5" x14ac:dyDescent="0.3">
      <c r="A111" s="1" t="s">
        <v>234</v>
      </c>
      <c r="B111" s="1">
        <v>412</v>
      </c>
      <c r="C111" s="1" t="s">
        <v>235</v>
      </c>
      <c r="D111" s="1" t="s">
        <v>234</v>
      </c>
      <c r="E111" s="1" t="s">
        <v>9</v>
      </c>
    </row>
    <row r="112" spans="1:5" x14ac:dyDescent="0.3">
      <c r="A112" s="1" t="s">
        <v>236</v>
      </c>
      <c r="B112" s="1">
        <v>414</v>
      </c>
      <c r="C112" s="1" t="s">
        <v>237</v>
      </c>
      <c r="D112" s="1" t="s">
        <v>552</v>
      </c>
      <c r="E112" s="1" t="s">
        <v>32</v>
      </c>
    </row>
    <row r="113" spans="1:5" x14ac:dyDescent="0.3">
      <c r="A113" s="1" t="s">
        <v>238</v>
      </c>
      <c r="B113" s="1">
        <v>417</v>
      </c>
      <c r="C113" s="1" t="s">
        <v>239</v>
      </c>
      <c r="D113" s="1" t="s">
        <v>553</v>
      </c>
      <c r="E113" s="1" t="s">
        <v>6</v>
      </c>
    </row>
    <row r="114" spans="1:5" x14ac:dyDescent="0.3">
      <c r="A114" s="1" t="s">
        <v>240</v>
      </c>
      <c r="B114" s="1">
        <v>418</v>
      </c>
      <c r="C114" s="1" t="s">
        <v>241</v>
      </c>
      <c r="D114" s="1" t="s">
        <v>554</v>
      </c>
      <c r="E114" s="1" t="s">
        <v>6</v>
      </c>
    </row>
    <row r="115" spans="1:5" x14ac:dyDescent="0.3">
      <c r="A115" s="1" t="s">
        <v>242</v>
      </c>
      <c r="B115" s="1">
        <v>428</v>
      </c>
      <c r="C115" s="1" t="s">
        <v>243</v>
      </c>
      <c r="D115" s="1" t="s">
        <v>555</v>
      </c>
      <c r="E115" s="1" t="s">
        <v>18</v>
      </c>
    </row>
    <row r="116" spans="1:5" x14ac:dyDescent="0.3">
      <c r="A116" s="1" t="s">
        <v>244</v>
      </c>
      <c r="B116" s="1">
        <v>422</v>
      </c>
      <c r="C116" s="1" t="s">
        <v>245</v>
      </c>
      <c r="D116" s="1" t="s">
        <v>556</v>
      </c>
      <c r="E116" s="1" t="s">
        <v>32</v>
      </c>
    </row>
    <row r="117" spans="1:5" x14ac:dyDescent="0.3">
      <c r="A117" s="1" t="s">
        <v>246</v>
      </c>
      <c r="B117" s="1">
        <v>426</v>
      </c>
      <c r="C117" s="1" t="s">
        <v>247</v>
      </c>
      <c r="D117" s="1" t="s">
        <v>246</v>
      </c>
      <c r="E117" s="1" t="s">
        <v>68</v>
      </c>
    </row>
    <row r="118" spans="1:5" x14ac:dyDescent="0.3">
      <c r="A118" s="1" t="s">
        <v>248</v>
      </c>
      <c r="B118" s="1">
        <v>430</v>
      </c>
      <c r="C118" s="1" t="s">
        <v>249</v>
      </c>
      <c r="D118" s="1" t="s">
        <v>557</v>
      </c>
      <c r="E118" s="1" t="s">
        <v>57</v>
      </c>
    </row>
    <row r="119" spans="1:5" x14ac:dyDescent="0.3">
      <c r="A119" s="1" t="s">
        <v>250</v>
      </c>
      <c r="B119" s="1">
        <v>434</v>
      </c>
      <c r="C119" s="1" t="s">
        <v>251</v>
      </c>
      <c r="D119" s="1" t="s">
        <v>558</v>
      </c>
      <c r="E119" s="1" t="s">
        <v>12</v>
      </c>
    </row>
    <row r="120" spans="1:5" x14ac:dyDescent="0.3">
      <c r="A120" s="1" t="s">
        <v>252</v>
      </c>
      <c r="B120" s="1">
        <v>438</v>
      </c>
      <c r="C120" s="1" t="s">
        <v>253</v>
      </c>
      <c r="D120" s="1" t="s">
        <v>252</v>
      </c>
      <c r="E120" s="1" t="s">
        <v>18</v>
      </c>
    </row>
    <row r="121" spans="1:5" x14ac:dyDescent="0.3">
      <c r="A121" s="1" t="s">
        <v>254</v>
      </c>
      <c r="B121" s="1">
        <v>440</v>
      </c>
      <c r="C121" s="1" t="s">
        <v>255</v>
      </c>
      <c r="D121" s="1" t="s">
        <v>559</v>
      </c>
      <c r="E121" s="1" t="s">
        <v>18</v>
      </c>
    </row>
    <row r="122" spans="1:5" x14ac:dyDescent="0.3">
      <c r="A122" s="1" t="s">
        <v>256</v>
      </c>
      <c r="B122" s="1">
        <v>442</v>
      </c>
      <c r="C122" s="1" t="s">
        <v>257</v>
      </c>
      <c r="D122" s="1" t="s">
        <v>256</v>
      </c>
      <c r="E122" s="1" t="s">
        <v>18</v>
      </c>
    </row>
    <row r="123" spans="1:5" x14ac:dyDescent="0.3">
      <c r="A123" s="1" t="s">
        <v>258</v>
      </c>
      <c r="B123" s="1">
        <v>450</v>
      </c>
      <c r="C123" s="1" t="s">
        <v>259</v>
      </c>
      <c r="D123" s="1" t="s">
        <v>258</v>
      </c>
      <c r="E123" s="1" t="s">
        <v>68</v>
      </c>
    </row>
    <row r="124" spans="1:5" x14ac:dyDescent="0.3">
      <c r="A124" s="1" t="s">
        <v>260</v>
      </c>
      <c r="B124" s="1">
        <v>454</v>
      </c>
      <c r="C124" s="1" t="s">
        <v>261</v>
      </c>
      <c r="D124" s="1" t="s">
        <v>260</v>
      </c>
      <c r="E124" s="1" t="s">
        <v>81</v>
      </c>
    </row>
    <row r="125" spans="1:5" x14ac:dyDescent="0.3">
      <c r="A125" s="1" t="s">
        <v>262</v>
      </c>
      <c r="B125" s="1">
        <v>458</v>
      </c>
      <c r="C125" s="1" t="s">
        <v>263</v>
      </c>
      <c r="D125" s="1" t="s">
        <v>560</v>
      </c>
      <c r="E125" s="1" t="s">
        <v>6</v>
      </c>
    </row>
    <row r="126" spans="1:5" x14ac:dyDescent="0.3">
      <c r="A126" s="1" t="s">
        <v>264</v>
      </c>
      <c r="B126" s="1">
        <v>462</v>
      </c>
      <c r="C126" s="1" t="s">
        <v>265</v>
      </c>
      <c r="D126" s="1" t="s">
        <v>264</v>
      </c>
      <c r="E126" s="1" t="s">
        <v>6</v>
      </c>
    </row>
    <row r="127" spans="1:5" x14ac:dyDescent="0.3">
      <c r="A127" s="1" t="s">
        <v>266</v>
      </c>
      <c r="B127" s="1">
        <v>466</v>
      </c>
      <c r="C127" s="1" t="s">
        <v>267</v>
      </c>
      <c r="D127" s="1" t="s">
        <v>266</v>
      </c>
      <c r="E127" s="1" t="s">
        <v>57</v>
      </c>
    </row>
    <row r="128" spans="1:5" x14ac:dyDescent="0.3">
      <c r="A128" s="1" t="s">
        <v>268</v>
      </c>
      <c r="B128" s="1">
        <v>470</v>
      </c>
      <c r="C128" s="1" t="s">
        <v>269</v>
      </c>
      <c r="D128" s="1" t="s">
        <v>561</v>
      </c>
      <c r="E128" s="1" t="s">
        <v>18</v>
      </c>
    </row>
    <row r="129" spans="1:5" x14ac:dyDescent="0.3">
      <c r="A129" s="1" t="s">
        <v>270</v>
      </c>
      <c r="B129" s="1">
        <v>584</v>
      </c>
      <c r="C129" s="1" t="s">
        <v>271</v>
      </c>
      <c r="D129" s="1" t="s">
        <v>562</v>
      </c>
      <c r="E129" s="1" t="s">
        <v>15</v>
      </c>
    </row>
    <row r="130" spans="1:5" x14ac:dyDescent="0.3">
      <c r="A130" s="1" t="s">
        <v>272</v>
      </c>
      <c r="B130" s="1">
        <v>474</v>
      </c>
      <c r="C130" s="1" t="s">
        <v>273</v>
      </c>
      <c r="D130" s="1" t="s">
        <v>272</v>
      </c>
      <c r="E130" s="1" t="s">
        <v>24</v>
      </c>
    </row>
    <row r="131" spans="1:5" x14ac:dyDescent="0.3">
      <c r="A131" s="1" t="s">
        <v>274</v>
      </c>
      <c r="B131" s="1">
        <v>478</v>
      </c>
      <c r="C131" s="1" t="s">
        <v>275</v>
      </c>
      <c r="D131" s="1" t="s">
        <v>563</v>
      </c>
      <c r="E131" s="1" t="s">
        <v>12</v>
      </c>
    </row>
    <row r="132" spans="1:5" x14ac:dyDescent="0.3">
      <c r="A132" s="1" t="s">
        <v>276</v>
      </c>
      <c r="B132" s="1">
        <v>480</v>
      </c>
      <c r="C132" s="1" t="s">
        <v>277</v>
      </c>
      <c r="D132" s="1" t="s">
        <v>564</v>
      </c>
      <c r="E132" s="1" t="s">
        <v>68</v>
      </c>
    </row>
    <row r="133" spans="1:5" x14ac:dyDescent="0.3">
      <c r="A133" s="1" t="s">
        <v>278</v>
      </c>
      <c r="B133" s="1">
        <v>175</v>
      </c>
      <c r="C133" s="1" t="s">
        <v>279</v>
      </c>
      <c r="D133" s="1" t="s">
        <v>278</v>
      </c>
      <c r="E133" s="1" t="s">
        <v>68</v>
      </c>
    </row>
    <row r="134" spans="1:5" x14ac:dyDescent="0.3">
      <c r="A134" s="1" t="s">
        <v>280</v>
      </c>
      <c r="B134" s="1">
        <v>484</v>
      </c>
      <c r="C134" s="1" t="s">
        <v>281</v>
      </c>
      <c r="D134" s="1" t="s">
        <v>565</v>
      </c>
      <c r="E134" s="1" t="s">
        <v>29</v>
      </c>
    </row>
    <row r="135" spans="1:5" x14ac:dyDescent="0.3">
      <c r="A135" s="1" t="s">
        <v>282</v>
      </c>
      <c r="B135" s="1">
        <v>583</v>
      </c>
      <c r="C135" s="1" t="s">
        <v>283</v>
      </c>
      <c r="D135" s="1" t="s">
        <v>566</v>
      </c>
      <c r="E135" s="1" t="s">
        <v>15</v>
      </c>
    </row>
    <row r="136" spans="1:5" x14ac:dyDescent="0.3">
      <c r="A136" s="1" t="s">
        <v>284</v>
      </c>
      <c r="B136" s="1">
        <v>492</v>
      </c>
      <c r="C136" s="1" t="s">
        <v>285</v>
      </c>
      <c r="D136" s="1" t="s">
        <v>284</v>
      </c>
      <c r="E136" s="1" t="s">
        <v>18</v>
      </c>
    </row>
    <row r="137" spans="1:5" x14ac:dyDescent="0.3">
      <c r="A137" s="1" t="s">
        <v>286</v>
      </c>
      <c r="B137" s="1">
        <v>496</v>
      </c>
      <c r="C137" s="1" t="s">
        <v>287</v>
      </c>
      <c r="D137" s="1" t="s">
        <v>567</v>
      </c>
      <c r="E137" s="1" t="s">
        <v>6</v>
      </c>
    </row>
    <row r="138" spans="1:5" x14ac:dyDescent="0.3">
      <c r="A138" s="1" t="s">
        <v>288</v>
      </c>
      <c r="B138" s="1">
        <v>499</v>
      </c>
      <c r="C138" s="1" t="s">
        <v>289</v>
      </c>
      <c r="D138" s="1" t="s">
        <v>568</v>
      </c>
      <c r="E138" s="1" t="s">
        <v>9</v>
      </c>
    </row>
    <row r="139" spans="1:5" x14ac:dyDescent="0.3">
      <c r="A139" s="1" t="s">
        <v>290</v>
      </c>
      <c r="B139" s="1">
        <v>500</v>
      </c>
      <c r="C139" s="1" t="s">
        <v>291</v>
      </c>
      <c r="D139" s="1" t="s">
        <v>290</v>
      </c>
      <c r="E139" s="1" t="s">
        <v>24</v>
      </c>
    </row>
    <row r="140" spans="1:5" x14ac:dyDescent="0.3">
      <c r="A140" s="1" t="s">
        <v>292</v>
      </c>
      <c r="B140" s="1">
        <v>504</v>
      </c>
      <c r="C140" s="1" t="s">
        <v>293</v>
      </c>
      <c r="D140" s="1" t="s">
        <v>569</v>
      </c>
      <c r="E140" s="1" t="s">
        <v>12</v>
      </c>
    </row>
    <row r="141" spans="1:5" x14ac:dyDescent="0.3">
      <c r="A141" s="1" t="s">
        <v>294</v>
      </c>
      <c r="B141" s="1">
        <v>508</v>
      </c>
      <c r="C141" s="1" t="s">
        <v>295</v>
      </c>
      <c r="D141" s="1" t="s">
        <v>294</v>
      </c>
      <c r="E141" s="1" t="s">
        <v>81</v>
      </c>
    </row>
    <row r="142" spans="1:5" x14ac:dyDescent="0.3">
      <c r="A142" s="1" t="s">
        <v>296</v>
      </c>
      <c r="B142" s="1">
        <v>104</v>
      </c>
      <c r="C142" s="1" t="s">
        <v>297</v>
      </c>
      <c r="D142" s="1" t="s">
        <v>296</v>
      </c>
      <c r="E142" s="1" t="s">
        <v>6</v>
      </c>
    </row>
    <row r="143" spans="1:5" x14ac:dyDescent="0.3">
      <c r="A143" s="1" t="s">
        <v>298</v>
      </c>
      <c r="B143" s="1">
        <v>516</v>
      </c>
      <c r="C143" s="1" t="s">
        <v>299</v>
      </c>
      <c r="D143" s="1" t="s">
        <v>570</v>
      </c>
      <c r="E143" s="1" t="s">
        <v>68</v>
      </c>
    </row>
    <row r="144" spans="1:5" x14ac:dyDescent="0.3">
      <c r="A144" s="1" t="s">
        <v>300</v>
      </c>
      <c r="B144" s="1">
        <v>520</v>
      </c>
      <c r="C144" s="1" t="s">
        <v>301</v>
      </c>
      <c r="D144" s="1" t="s">
        <v>300</v>
      </c>
      <c r="E144" s="1" t="s">
        <v>15</v>
      </c>
    </row>
    <row r="145" spans="1:5" x14ac:dyDescent="0.3">
      <c r="A145" s="1" t="s">
        <v>302</v>
      </c>
      <c r="B145" s="1">
        <v>524</v>
      </c>
      <c r="C145" s="1" t="s">
        <v>303</v>
      </c>
      <c r="D145" s="1" t="s">
        <v>571</v>
      </c>
      <c r="E145" s="1" t="s">
        <v>6</v>
      </c>
    </row>
    <row r="146" spans="1:5" x14ac:dyDescent="0.3">
      <c r="A146" s="1" t="s">
        <v>304</v>
      </c>
      <c r="B146" s="1">
        <v>528</v>
      </c>
      <c r="C146" s="1" t="s">
        <v>305</v>
      </c>
      <c r="D146" s="1" t="s">
        <v>572</v>
      </c>
      <c r="E146" s="1" t="s">
        <v>18</v>
      </c>
    </row>
    <row r="147" spans="1:5" x14ac:dyDescent="0.3">
      <c r="A147" s="1" t="s">
        <v>306</v>
      </c>
      <c r="B147" s="1">
        <v>540</v>
      </c>
      <c r="C147" s="1" t="s">
        <v>307</v>
      </c>
      <c r="D147" s="1" t="s">
        <v>573</v>
      </c>
      <c r="E147" s="1" t="s">
        <v>15</v>
      </c>
    </row>
    <row r="148" spans="1:5" x14ac:dyDescent="0.3">
      <c r="A148" s="1" t="s">
        <v>308</v>
      </c>
      <c r="B148" s="1">
        <v>554</v>
      </c>
      <c r="C148" s="1" t="s">
        <v>309</v>
      </c>
      <c r="D148" s="1" t="s">
        <v>574</v>
      </c>
      <c r="E148" s="1" t="s">
        <v>15</v>
      </c>
    </row>
    <row r="149" spans="1:5" x14ac:dyDescent="0.3">
      <c r="A149" s="1" t="s">
        <v>310</v>
      </c>
      <c r="B149" s="1">
        <v>558</v>
      </c>
      <c r="C149" s="1" t="s">
        <v>311</v>
      </c>
      <c r="D149" s="1" t="s">
        <v>310</v>
      </c>
      <c r="E149" s="1" t="s">
        <v>29</v>
      </c>
    </row>
    <row r="150" spans="1:5" x14ac:dyDescent="0.3">
      <c r="A150" s="1" t="s">
        <v>312</v>
      </c>
      <c r="B150" s="1">
        <v>562</v>
      </c>
      <c r="C150" s="1" t="s">
        <v>313</v>
      </c>
      <c r="D150" s="1" t="s">
        <v>312</v>
      </c>
      <c r="E150" s="1" t="s">
        <v>57</v>
      </c>
    </row>
    <row r="151" spans="1:5" x14ac:dyDescent="0.3">
      <c r="A151" s="1" t="s">
        <v>314</v>
      </c>
      <c r="B151" s="1">
        <v>566</v>
      </c>
      <c r="C151" s="1" t="s">
        <v>315</v>
      </c>
      <c r="D151" s="1" t="s">
        <v>575</v>
      </c>
      <c r="E151" s="1" t="s">
        <v>57</v>
      </c>
    </row>
    <row r="152" spans="1:5" x14ac:dyDescent="0.3">
      <c r="A152" s="1" t="s">
        <v>316</v>
      </c>
      <c r="B152" s="1">
        <v>570</v>
      </c>
      <c r="C152" s="1" t="s">
        <v>317</v>
      </c>
      <c r="D152" s="1" t="s">
        <v>576</v>
      </c>
      <c r="E152" s="1" t="s">
        <v>15</v>
      </c>
    </row>
    <row r="153" spans="1:5" x14ac:dyDescent="0.3">
      <c r="A153" s="1" t="s">
        <v>318</v>
      </c>
      <c r="B153" s="1">
        <v>807</v>
      </c>
      <c r="C153" s="1" t="s">
        <v>319</v>
      </c>
      <c r="D153" s="1" t="s">
        <v>577</v>
      </c>
      <c r="E153" s="1" t="s">
        <v>9</v>
      </c>
    </row>
    <row r="154" spans="1:5" x14ac:dyDescent="0.3">
      <c r="A154" s="1" t="s">
        <v>320</v>
      </c>
      <c r="B154" s="1">
        <v>580</v>
      </c>
      <c r="C154" s="1" t="s">
        <v>321</v>
      </c>
      <c r="D154" s="1" t="s">
        <v>578</v>
      </c>
      <c r="E154" s="1" t="s">
        <v>15</v>
      </c>
    </row>
    <row r="155" spans="1:5" x14ac:dyDescent="0.3">
      <c r="A155" s="1" t="s">
        <v>322</v>
      </c>
      <c r="B155" s="1">
        <v>578</v>
      </c>
      <c r="C155" s="1" t="s">
        <v>323</v>
      </c>
      <c r="D155" s="1" t="s">
        <v>579</v>
      </c>
      <c r="E155" s="1" t="s">
        <v>18</v>
      </c>
    </row>
    <row r="156" spans="1:5" x14ac:dyDescent="0.3">
      <c r="A156" s="1" t="s">
        <v>324</v>
      </c>
      <c r="B156" s="1">
        <v>512</v>
      </c>
      <c r="C156" s="1" t="s">
        <v>325</v>
      </c>
      <c r="D156" s="1" t="s">
        <v>324</v>
      </c>
      <c r="E156" s="1" t="s">
        <v>32</v>
      </c>
    </row>
    <row r="157" spans="1:5" x14ac:dyDescent="0.3">
      <c r="A157" s="1" t="s">
        <v>326</v>
      </c>
      <c r="B157" s="1">
        <v>586</v>
      </c>
      <c r="C157" s="1" t="s">
        <v>327</v>
      </c>
      <c r="D157" s="1" t="s">
        <v>326</v>
      </c>
      <c r="E157" s="1" t="s">
        <v>6</v>
      </c>
    </row>
    <row r="158" spans="1:5" x14ac:dyDescent="0.3">
      <c r="A158" s="1" t="s">
        <v>328</v>
      </c>
      <c r="B158" s="1">
        <v>585</v>
      </c>
      <c r="C158" s="1" t="s">
        <v>329</v>
      </c>
      <c r="D158" s="1" t="s">
        <v>580</v>
      </c>
      <c r="E158" s="1" t="s">
        <v>15</v>
      </c>
    </row>
    <row r="159" spans="1:5" x14ac:dyDescent="0.3">
      <c r="A159" s="1" t="s">
        <v>330</v>
      </c>
      <c r="B159" s="1">
        <v>591</v>
      </c>
      <c r="C159" s="1" t="s">
        <v>331</v>
      </c>
      <c r="D159" s="1" t="s">
        <v>330</v>
      </c>
      <c r="E159" s="1" t="s">
        <v>29</v>
      </c>
    </row>
    <row r="160" spans="1:5" x14ac:dyDescent="0.3">
      <c r="A160" s="1" t="s">
        <v>332</v>
      </c>
      <c r="B160" s="1">
        <v>598</v>
      </c>
      <c r="C160" s="1" t="s">
        <v>333</v>
      </c>
      <c r="D160" s="1" t="s">
        <v>581</v>
      </c>
      <c r="E160" s="1" t="s">
        <v>15</v>
      </c>
    </row>
    <row r="161" spans="1:5" x14ac:dyDescent="0.3">
      <c r="A161" s="1" t="s">
        <v>334</v>
      </c>
      <c r="B161" s="1">
        <v>600</v>
      </c>
      <c r="C161" s="1" t="s">
        <v>335</v>
      </c>
      <c r="D161" s="1" t="s">
        <v>334</v>
      </c>
      <c r="E161" s="1" t="s">
        <v>29</v>
      </c>
    </row>
    <row r="162" spans="1:5" x14ac:dyDescent="0.3">
      <c r="A162" s="1" t="s">
        <v>336</v>
      </c>
      <c r="B162" s="1">
        <v>604</v>
      </c>
      <c r="C162" s="1" t="s">
        <v>337</v>
      </c>
      <c r="D162" s="1" t="s">
        <v>582</v>
      </c>
      <c r="E162" s="1" t="s">
        <v>29</v>
      </c>
    </row>
    <row r="163" spans="1:5" x14ac:dyDescent="0.3">
      <c r="A163" s="1" t="s">
        <v>338</v>
      </c>
      <c r="B163" s="1">
        <v>608</v>
      </c>
      <c r="C163" s="1" t="s">
        <v>339</v>
      </c>
      <c r="D163" s="1" t="s">
        <v>338</v>
      </c>
      <c r="E163" s="1" t="s">
        <v>6</v>
      </c>
    </row>
    <row r="164" spans="1:5" x14ac:dyDescent="0.3">
      <c r="A164" s="1" t="s">
        <v>340</v>
      </c>
      <c r="B164" s="1">
        <v>616</v>
      </c>
      <c r="C164" s="1" t="s">
        <v>341</v>
      </c>
      <c r="D164" s="1" t="s">
        <v>583</v>
      </c>
      <c r="E164" s="1" t="s">
        <v>9</v>
      </c>
    </row>
    <row r="165" spans="1:5" x14ac:dyDescent="0.3">
      <c r="A165" s="1" t="s">
        <v>342</v>
      </c>
      <c r="B165" s="1">
        <v>620</v>
      </c>
      <c r="C165" s="1" t="s">
        <v>343</v>
      </c>
      <c r="D165" s="1" t="s">
        <v>342</v>
      </c>
      <c r="E165" s="1" t="s">
        <v>18</v>
      </c>
    </row>
    <row r="166" spans="1:5" x14ac:dyDescent="0.3">
      <c r="A166" s="1" t="s">
        <v>344</v>
      </c>
      <c r="B166" s="1">
        <v>630</v>
      </c>
      <c r="C166" s="1" t="s">
        <v>345</v>
      </c>
      <c r="D166" s="1" t="s">
        <v>584</v>
      </c>
      <c r="E166" s="1" t="s">
        <v>24</v>
      </c>
    </row>
    <row r="167" spans="1:5" x14ac:dyDescent="0.3">
      <c r="A167" s="1" t="s">
        <v>346</v>
      </c>
      <c r="B167" s="1">
        <v>634</v>
      </c>
      <c r="C167" s="1" t="s">
        <v>347</v>
      </c>
      <c r="D167" s="1" t="s">
        <v>346</v>
      </c>
      <c r="E167" s="1" t="s">
        <v>32</v>
      </c>
    </row>
    <row r="168" spans="1:5" x14ac:dyDescent="0.3">
      <c r="A168" s="1" t="s">
        <v>126</v>
      </c>
      <c r="B168" s="1">
        <v>410</v>
      </c>
      <c r="C168" s="1" t="s">
        <v>348</v>
      </c>
      <c r="D168" s="1" t="s">
        <v>514</v>
      </c>
      <c r="E168" s="1" t="s">
        <v>6</v>
      </c>
    </row>
    <row r="169" spans="1:5" x14ac:dyDescent="0.3">
      <c r="A169" s="1" t="s">
        <v>349</v>
      </c>
      <c r="B169" s="1">
        <v>498</v>
      </c>
      <c r="C169" s="1" t="s">
        <v>350</v>
      </c>
      <c r="D169" s="1" t="s">
        <v>585</v>
      </c>
      <c r="E169" s="1" t="s">
        <v>9</v>
      </c>
    </row>
    <row r="170" spans="1:5" x14ac:dyDescent="0.3">
      <c r="A170" s="1" t="s">
        <v>351</v>
      </c>
      <c r="B170" s="1">
        <v>638</v>
      </c>
      <c r="C170" s="1" t="s">
        <v>352</v>
      </c>
      <c r="D170" s="1" t="s">
        <v>351</v>
      </c>
      <c r="E170" s="1" t="s">
        <v>68</v>
      </c>
    </row>
    <row r="171" spans="1:5" x14ac:dyDescent="0.3">
      <c r="A171" s="1" t="s">
        <v>353</v>
      </c>
      <c r="B171" s="1">
        <v>642</v>
      </c>
      <c r="C171" s="1" t="s">
        <v>354</v>
      </c>
      <c r="D171" s="1" t="s">
        <v>586</v>
      </c>
      <c r="E171" s="1" t="s">
        <v>9</v>
      </c>
    </row>
    <row r="172" spans="1:5" x14ac:dyDescent="0.3">
      <c r="A172" s="1" t="s">
        <v>355</v>
      </c>
      <c r="B172" s="1">
        <v>643</v>
      </c>
      <c r="C172" s="1" t="s">
        <v>356</v>
      </c>
      <c r="D172" s="1" t="s">
        <v>587</v>
      </c>
      <c r="E172" s="1" t="s">
        <v>9</v>
      </c>
    </row>
    <row r="173" spans="1:5" x14ac:dyDescent="0.3">
      <c r="A173" s="1" t="s">
        <v>357</v>
      </c>
      <c r="B173" s="1">
        <v>646</v>
      </c>
      <c r="C173" s="1" t="s">
        <v>358</v>
      </c>
      <c r="D173" s="1" t="s">
        <v>357</v>
      </c>
      <c r="E173" s="1" t="s">
        <v>81</v>
      </c>
    </row>
    <row r="174" spans="1:5" x14ac:dyDescent="0.3">
      <c r="A174" s="1" t="s">
        <v>359</v>
      </c>
      <c r="B174" s="1">
        <v>652</v>
      </c>
      <c r="C174" s="1" t="s">
        <v>360</v>
      </c>
      <c r="D174" s="1" t="s">
        <v>588</v>
      </c>
      <c r="E174" s="1" t="s">
        <v>24</v>
      </c>
    </row>
    <row r="175" spans="1:5" x14ac:dyDescent="0.3">
      <c r="A175" s="1" t="s">
        <v>361</v>
      </c>
      <c r="B175" s="1">
        <v>654</v>
      </c>
      <c r="C175" s="1" t="s">
        <v>362</v>
      </c>
      <c r="D175" s="1" t="s">
        <v>589</v>
      </c>
      <c r="E175" s="1" t="s">
        <v>57</v>
      </c>
    </row>
    <row r="176" spans="1:5" x14ac:dyDescent="0.3">
      <c r="A176" s="1" t="s">
        <v>363</v>
      </c>
      <c r="B176" s="1">
        <v>659</v>
      </c>
      <c r="C176" s="1" t="s">
        <v>364</v>
      </c>
      <c r="D176" s="1" t="s">
        <v>590</v>
      </c>
      <c r="E176" s="1" t="s">
        <v>24</v>
      </c>
    </row>
    <row r="177" spans="1:5" x14ac:dyDescent="0.3">
      <c r="A177" s="1" t="s">
        <v>365</v>
      </c>
      <c r="B177" s="1">
        <v>662</v>
      </c>
      <c r="C177" s="1" t="s">
        <v>366</v>
      </c>
      <c r="D177" s="1" t="s">
        <v>591</v>
      </c>
      <c r="E177" s="1" t="s">
        <v>24</v>
      </c>
    </row>
    <row r="178" spans="1:5" x14ac:dyDescent="0.3">
      <c r="A178" s="1" t="s">
        <v>367</v>
      </c>
      <c r="B178" s="1">
        <v>663</v>
      </c>
      <c r="C178" s="1" t="s">
        <v>368</v>
      </c>
      <c r="D178" s="1" t="s">
        <v>592</v>
      </c>
      <c r="E178" s="1" t="s">
        <v>24</v>
      </c>
    </row>
    <row r="179" spans="1:5" x14ac:dyDescent="0.3">
      <c r="A179" s="1" t="s">
        <v>369</v>
      </c>
      <c r="B179" s="1">
        <v>666</v>
      </c>
      <c r="C179" s="1" t="s">
        <v>370</v>
      </c>
      <c r="D179" s="1" t="s">
        <v>593</v>
      </c>
      <c r="E179" s="1" t="s">
        <v>29</v>
      </c>
    </row>
    <row r="180" spans="1:5" x14ac:dyDescent="0.3">
      <c r="A180" s="1" t="s">
        <v>371</v>
      </c>
      <c r="B180" s="1">
        <v>882</v>
      </c>
      <c r="C180" s="1" t="s">
        <v>372</v>
      </c>
      <c r="D180" s="1" t="s">
        <v>371</v>
      </c>
      <c r="E180" s="1" t="s">
        <v>15</v>
      </c>
    </row>
    <row r="181" spans="1:5" x14ac:dyDescent="0.3">
      <c r="A181" s="1" t="s">
        <v>373</v>
      </c>
      <c r="B181" s="1">
        <v>674</v>
      </c>
      <c r="C181" s="1" t="s">
        <v>374</v>
      </c>
      <c r="D181" s="1" t="s">
        <v>594</v>
      </c>
      <c r="E181" s="1" t="s">
        <v>18</v>
      </c>
    </row>
    <row r="182" spans="1:5" x14ac:dyDescent="0.3">
      <c r="A182" s="1" t="s">
        <v>375</v>
      </c>
      <c r="B182" s="1">
        <v>678</v>
      </c>
      <c r="C182" s="1" t="s">
        <v>376</v>
      </c>
      <c r="D182" s="1" t="s">
        <v>595</v>
      </c>
      <c r="E182" s="1" t="s">
        <v>21</v>
      </c>
    </row>
    <row r="183" spans="1:5" x14ac:dyDescent="0.3">
      <c r="A183" s="1" t="s">
        <v>377</v>
      </c>
      <c r="B183" s="1">
        <v>682</v>
      </c>
      <c r="C183" s="1" t="s">
        <v>378</v>
      </c>
      <c r="D183" s="1" t="s">
        <v>596</v>
      </c>
      <c r="E183" s="1" t="s">
        <v>32</v>
      </c>
    </row>
    <row r="184" spans="1:5" x14ac:dyDescent="0.3">
      <c r="A184" s="1" t="s">
        <v>379</v>
      </c>
      <c r="B184" s="1">
        <v>686</v>
      </c>
      <c r="C184" s="1" t="s">
        <v>380</v>
      </c>
      <c r="D184" s="1" t="s">
        <v>597</v>
      </c>
      <c r="E184" s="1" t="s">
        <v>57</v>
      </c>
    </row>
    <row r="185" spans="1:5" x14ac:dyDescent="0.3">
      <c r="A185" s="1" t="s">
        <v>381</v>
      </c>
      <c r="B185" s="1">
        <v>688</v>
      </c>
      <c r="C185" s="1" t="s">
        <v>382</v>
      </c>
      <c r="D185" s="1" t="s">
        <v>598</v>
      </c>
      <c r="E185" s="1" t="s">
        <v>9</v>
      </c>
    </row>
    <row r="186" spans="1:5" x14ac:dyDescent="0.3">
      <c r="A186" s="1" t="s">
        <v>383</v>
      </c>
      <c r="B186" s="1">
        <v>690</v>
      </c>
      <c r="C186" s="1" t="s">
        <v>384</v>
      </c>
      <c r="D186" s="1" t="s">
        <v>383</v>
      </c>
      <c r="E186" s="1" t="s">
        <v>68</v>
      </c>
    </row>
    <row r="187" spans="1:5" x14ac:dyDescent="0.3">
      <c r="A187" s="1" t="s">
        <v>385</v>
      </c>
      <c r="B187" s="1">
        <v>694</v>
      </c>
      <c r="C187" s="1" t="s">
        <v>386</v>
      </c>
      <c r="D187" s="1" t="s">
        <v>385</v>
      </c>
      <c r="E187" s="1" t="s">
        <v>57</v>
      </c>
    </row>
    <row r="188" spans="1:5" x14ac:dyDescent="0.3">
      <c r="A188" s="1" t="s">
        <v>387</v>
      </c>
      <c r="B188" s="1">
        <v>702</v>
      </c>
      <c r="C188" s="1" t="s">
        <v>388</v>
      </c>
      <c r="D188" s="1" t="s">
        <v>599</v>
      </c>
      <c r="E188" s="1" t="s">
        <v>6</v>
      </c>
    </row>
    <row r="189" spans="1:5" x14ac:dyDescent="0.3">
      <c r="A189" s="1" t="s">
        <v>389</v>
      </c>
      <c r="B189" s="1">
        <v>534</v>
      </c>
      <c r="C189" s="1" t="s">
        <v>390</v>
      </c>
      <c r="D189" s="1" t="s">
        <v>600</v>
      </c>
      <c r="E189" s="1" t="s">
        <v>24</v>
      </c>
    </row>
    <row r="190" spans="1:5" x14ac:dyDescent="0.3">
      <c r="A190" s="1" t="s">
        <v>391</v>
      </c>
      <c r="B190" s="1">
        <v>703</v>
      </c>
      <c r="C190" s="1" t="s">
        <v>392</v>
      </c>
      <c r="D190" s="1" t="s">
        <v>601</v>
      </c>
      <c r="E190" s="1" t="s">
        <v>9</v>
      </c>
    </row>
    <row r="191" spans="1:5" x14ac:dyDescent="0.3">
      <c r="A191" s="1" t="s">
        <v>393</v>
      </c>
      <c r="B191" s="1">
        <v>705</v>
      </c>
      <c r="C191" s="1" t="s">
        <v>394</v>
      </c>
      <c r="D191" s="1" t="s">
        <v>602</v>
      </c>
      <c r="E191" s="1" t="s">
        <v>9</v>
      </c>
    </row>
    <row r="192" spans="1:5" x14ac:dyDescent="0.3">
      <c r="A192" s="1" t="s">
        <v>395</v>
      </c>
      <c r="B192" s="1">
        <v>90</v>
      </c>
      <c r="C192" s="1" t="s">
        <v>396</v>
      </c>
      <c r="D192" s="1" t="s">
        <v>603</v>
      </c>
      <c r="E192" s="1" t="s">
        <v>15</v>
      </c>
    </row>
    <row r="193" spans="1:5" x14ac:dyDescent="0.3">
      <c r="A193" s="1" t="s">
        <v>397</v>
      </c>
      <c r="B193" s="1">
        <v>706</v>
      </c>
      <c r="C193" s="1" t="s">
        <v>398</v>
      </c>
      <c r="D193" s="1" t="s">
        <v>604</v>
      </c>
      <c r="E193" s="1" t="s">
        <v>81</v>
      </c>
    </row>
    <row r="194" spans="1:5" x14ac:dyDescent="0.3">
      <c r="A194" s="1" t="s">
        <v>399</v>
      </c>
      <c r="B194" s="1">
        <v>710</v>
      </c>
      <c r="C194" s="1" t="s">
        <v>400</v>
      </c>
      <c r="D194" s="1" t="s">
        <v>605</v>
      </c>
      <c r="E194" s="1" t="s">
        <v>68</v>
      </c>
    </row>
    <row r="195" spans="1:5" x14ac:dyDescent="0.3">
      <c r="A195" s="1" t="s">
        <v>401</v>
      </c>
      <c r="B195" s="1">
        <v>728</v>
      </c>
      <c r="C195" s="1" t="s">
        <v>402</v>
      </c>
      <c r="D195" s="1" t="s">
        <v>606</v>
      </c>
      <c r="E195" s="1" t="s">
        <v>81</v>
      </c>
    </row>
    <row r="196" spans="1:5" x14ac:dyDescent="0.3">
      <c r="A196" s="1" t="s">
        <v>403</v>
      </c>
      <c r="B196" s="1">
        <v>724</v>
      </c>
      <c r="C196" s="1" t="s">
        <v>404</v>
      </c>
      <c r="D196" s="1" t="s">
        <v>607</v>
      </c>
      <c r="E196" s="1" t="s">
        <v>18</v>
      </c>
    </row>
    <row r="197" spans="1:5" x14ac:dyDescent="0.3">
      <c r="A197" s="1" t="s">
        <v>405</v>
      </c>
      <c r="B197" s="1">
        <v>144</v>
      </c>
      <c r="C197" s="1" t="s">
        <v>406</v>
      </c>
      <c r="D197" s="1" t="s">
        <v>405</v>
      </c>
      <c r="E197" s="1" t="s">
        <v>6</v>
      </c>
    </row>
    <row r="198" spans="1:5" x14ac:dyDescent="0.3">
      <c r="A198" s="1" t="s">
        <v>407</v>
      </c>
      <c r="B198" s="1">
        <v>275</v>
      </c>
      <c r="C198" s="1" t="s">
        <v>408</v>
      </c>
      <c r="D198" s="1" t="s">
        <v>608</v>
      </c>
      <c r="E198" s="1" t="s">
        <v>32</v>
      </c>
    </row>
    <row r="199" spans="1:5" x14ac:dyDescent="0.3">
      <c r="A199" s="1" t="s">
        <v>409</v>
      </c>
      <c r="B199" s="1">
        <v>729</v>
      </c>
      <c r="C199" s="1" t="s">
        <v>410</v>
      </c>
      <c r="D199" s="1" t="s">
        <v>609</v>
      </c>
      <c r="E199" s="1" t="s">
        <v>12</v>
      </c>
    </row>
    <row r="200" spans="1:5" x14ac:dyDescent="0.3">
      <c r="A200" s="1" t="s">
        <v>411</v>
      </c>
      <c r="B200" s="1">
        <v>740</v>
      </c>
      <c r="C200" s="1" t="s">
        <v>412</v>
      </c>
      <c r="D200" s="1" t="s">
        <v>411</v>
      </c>
      <c r="E200" s="1" t="s">
        <v>29</v>
      </c>
    </row>
    <row r="201" spans="1:5" x14ac:dyDescent="0.3">
      <c r="A201" s="1" t="s">
        <v>413</v>
      </c>
      <c r="B201" s="1">
        <v>752</v>
      </c>
      <c r="C201" s="1" t="s">
        <v>414</v>
      </c>
      <c r="D201" s="1" t="s">
        <v>610</v>
      </c>
      <c r="E201" s="1" t="s">
        <v>18</v>
      </c>
    </row>
    <row r="202" spans="1:5" x14ac:dyDescent="0.3">
      <c r="A202" s="1" t="s">
        <v>415</v>
      </c>
      <c r="B202" s="1">
        <v>756</v>
      </c>
      <c r="C202" s="1" t="s">
        <v>416</v>
      </c>
      <c r="D202" s="1" t="s">
        <v>611</v>
      </c>
      <c r="E202" s="1" t="s">
        <v>18</v>
      </c>
    </row>
    <row r="203" spans="1:5" x14ac:dyDescent="0.3">
      <c r="A203" s="1" t="s">
        <v>417</v>
      </c>
      <c r="B203" s="1">
        <v>760</v>
      </c>
      <c r="C203" s="1" t="s">
        <v>418</v>
      </c>
      <c r="D203" s="1" t="s">
        <v>612</v>
      </c>
      <c r="E203" s="1" t="s">
        <v>32</v>
      </c>
    </row>
    <row r="204" spans="1:5" x14ac:dyDescent="0.3">
      <c r="A204" s="1" t="s">
        <v>419</v>
      </c>
      <c r="B204" s="1">
        <v>762</v>
      </c>
      <c r="C204" s="1" t="s">
        <v>420</v>
      </c>
      <c r="D204" s="1" t="s">
        <v>613</v>
      </c>
      <c r="E204" s="1" t="s">
        <v>6</v>
      </c>
    </row>
    <row r="205" spans="1:5" x14ac:dyDescent="0.3">
      <c r="A205" s="1" t="s">
        <v>421</v>
      </c>
      <c r="B205" s="1">
        <v>764</v>
      </c>
      <c r="C205" s="1" t="s">
        <v>422</v>
      </c>
      <c r="D205" s="1" t="s">
        <v>614</v>
      </c>
      <c r="E205" s="1" t="s">
        <v>6</v>
      </c>
    </row>
    <row r="206" spans="1:5" x14ac:dyDescent="0.3">
      <c r="A206" s="1" t="s">
        <v>423</v>
      </c>
      <c r="B206" s="1">
        <v>626</v>
      </c>
      <c r="C206" s="1" t="s">
        <v>424</v>
      </c>
      <c r="D206" s="1" t="s">
        <v>423</v>
      </c>
      <c r="E206" s="1" t="s">
        <v>6</v>
      </c>
    </row>
    <row r="207" spans="1:5" x14ac:dyDescent="0.3">
      <c r="A207" s="1" t="s">
        <v>425</v>
      </c>
      <c r="B207" s="1">
        <v>768</v>
      </c>
      <c r="C207" s="1" t="s">
        <v>426</v>
      </c>
      <c r="D207" s="1" t="s">
        <v>425</v>
      </c>
      <c r="E207" s="1" t="s">
        <v>57</v>
      </c>
    </row>
    <row r="208" spans="1:5" x14ac:dyDescent="0.3">
      <c r="A208" s="1" t="s">
        <v>427</v>
      </c>
      <c r="B208" s="1">
        <v>772</v>
      </c>
      <c r="C208" s="1" t="s">
        <v>428</v>
      </c>
      <c r="D208" s="1" t="s">
        <v>615</v>
      </c>
      <c r="E208" s="1" t="s">
        <v>15</v>
      </c>
    </row>
    <row r="209" spans="1:5" x14ac:dyDescent="0.3">
      <c r="A209" s="1" t="s">
        <v>429</v>
      </c>
      <c r="B209" s="1">
        <v>776</v>
      </c>
      <c r="C209" s="1" t="s">
        <v>430</v>
      </c>
      <c r="D209" s="1" t="s">
        <v>429</v>
      </c>
      <c r="E209" s="1" t="s">
        <v>15</v>
      </c>
    </row>
    <row r="210" spans="1:5" x14ac:dyDescent="0.3">
      <c r="A210" s="1" t="s">
        <v>431</v>
      </c>
      <c r="B210" s="1">
        <v>780</v>
      </c>
      <c r="C210" s="1" t="s">
        <v>432</v>
      </c>
      <c r="D210" s="1" t="s">
        <v>616</v>
      </c>
      <c r="E210" s="1" t="s">
        <v>24</v>
      </c>
    </row>
    <row r="211" spans="1:5" x14ac:dyDescent="0.3">
      <c r="A211" s="1" t="s">
        <v>433</v>
      </c>
      <c r="B211" s="1">
        <v>788</v>
      </c>
      <c r="C211" s="1" t="s">
        <v>434</v>
      </c>
      <c r="D211" s="1" t="s">
        <v>617</v>
      </c>
      <c r="E211" s="1" t="s">
        <v>12</v>
      </c>
    </row>
    <row r="212" spans="1:5" x14ac:dyDescent="0.3">
      <c r="A212" s="1" t="s">
        <v>435</v>
      </c>
      <c r="B212" s="1">
        <v>792</v>
      </c>
      <c r="C212" s="1" t="s">
        <v>436</v>
      </c>
      <c r="D212" s="1" t="s">
        <v>618</v>
      </c>
      <c r="E212" s="1" t="s">
        <v>32</v>
      </c>
    </row>
    <row r="213" spans="1:5" x14ac:dyDescent="0.3">
      <c r="A213" s="1" t="s">
        <v>437</v>
      </c>
      <c r="B213" s="1">
        <v>795</v>
      </c>
      <c r="C213" s="1" t="s">
        <v>438</v>
      </c>
      <c r="D213" s="1" t="s">
        <v>619</v>
      </c>
      <c r="E213" s="1" t="s">
        <v>6</v>
      </c>
    </row>
    <row r="214" spans="1:5" x14ac:dyDescent="0.3">
      <c r="A214" s="1" t="s">
        <v>439</v>
      </c>
      <c r="B214" s="1">
        <v>796</v>
      </c>
      <c r="C214" s="1" t="s">
        <v>440</v>
      </c>
      <c r="D214" s="1" t="s">
        <v>620</v>
      </c>
      <c r="E214" s="1" t="s">
        <v>24</v>
      </c>
    </row>
    <row r="215" spans="1:5" x14ac:dyDescent="0.3">
      <c r="A215" s="1" t="s">
        <v>441</v>
      </c>
      <c r="B215" s="1">
        <v>798</v>
      </c>
      <c r="C215" s="1" t="s">
        <v>442</v>
      </c>
      <c r="D215" s="1" t="s">
        <v>441</v>
      </c>
      <c r="E215" s="1" t="s">
        <v>15</v>
      </c>
    </row>
    <row r="216" spans="1:5" x14ac:dyDescent="0.3">
      <c r="A216" s="1" t="s">
        <v>443</v>
      </c>
      <c r="B216" s="1">
        <v>800</v>
      </c>
      <c r="C216" s="1" t="s">
        <v>444</v>
      </c>
      <c r="D216" s="1" t="s">
        <v>621</v>
      </c>
      <c r="E216" s="1" t="s">
        <v>81</v>
      </c>
    </row>
    <row r="217" spans="1:5" x14ac:dyDescent="0.3">
      <c r="A217" s="1" t="s">
        <v>445</v>
      </c>
      <c r="B217" s="1">
        <v>804</v>
      </c>
      <c r="C217" s="1" t="s">
        <v>446</v>
      </c>
      <c r="D217" s="1" t="s">
        <v>445</v>
      </c>
      <c r="E217" s="1" t="s">
        <v>9</v>
      </c>
    </row>
    <row r="218" spans="1:5" x14ac:dyDescent="0.3">
      <c r="A218" s="1" t="s">
        <v>447</v>
      </c>
      <c r="B218" s="1">
        <v>784</v>
      </c>
      <c r="C218" s="1" t="s">
        <v>448</v>
      </c>
      <c r="D218" s="1" t="s">
        <v>622</v>
      </c>
      <c r="E218" s="1" t="s">
        <v>32</v>
      </c>
    </row>
    <row r="219" spans="1:5" x14ac:dyDescent="0.3">
      <c r="A219" s="1" t="s">
        <v>449</v>
      </c>
      <c r="B219" s="1">
        <v>826</v>
      </c>
      <c r="C219" s="1" t="s">
        <v>450</v>
      </c>
      <c r="D219" s="1" t="s">
        <v>623</v>
      </c>
      <c r="E219" s="1" t="s">
        <v>18</v>
      </c>
    </row>
    <row r="220" spans="1:5" x14ac:dyDescent="0.3">
      <c r="A220" s="1" t="s">
        <v>451</v>
      </c>
      <c r="B220" s="1">
        <v>834</v>
      </c>
      <c r="C220" s="1" t="s">
        <v>452</v>
      </c>
      <c r="D220" s="1" t="s">
        <v>624</v>
      </c>
      <c r="E220" s="1" t="s">
        <v>81</v>
      </c>
    </row>
    <row r="221" spans="1:5" x14ac:dyDescent="0.3">
      <c r="A221" s="1" t="s">
        <v>453</v>
      </c>
      <c r="B221" s="1">
        <v>840</v>
      </c>
      <c r="C221" s="1" t="s">
        <v>454</v>
      </c>
      <c r="D221" s="1" t="s">
        <v>625</v>
      </c>
      <c r="E221" s="1" t="s">
        <v>29</v>
      </c>
    </row>
    <row r="222" spans="1:5" x14ac:dyDescent="0.3">
      <c r="A222" s="1" t="s">
        <v>455</v>
      </c>
      <c r="B222" s="1">
        <v>850</v>
      </c>
      <c r="C222" s="1" t="s">
        <v>456</v>
      </c>
      <c r="D222" s="1" t="s">
        <v>626</v>
      </c>
      <c r="E222" s="1" t="s">
        <v>24</v>
      </c>
    </row>
    <row r="223" spans="1:5" x14ac:dyDescent="0.3">
      <c r="A223" s="1" t="s">
        <v>457</v>
      </c>
      <c r="B223" s="1">
        <v>858</v>
      </c>
      <c r="C223" s="1" t="s">
        <v>458</v>
      </c>
      <c r="D223" s="1" t="s">
        <v>457</v>
      </c>
      <c r="E223" s="1" t="s">
        <v>29</v>
      </c>
    </row>
    <row r="224" spans="1:5" x14ac:dyDescent="0.3">
      <c r="A224" s="1" t="s">
        <v>459</v>
      </c>
      <c r="B224" s="1">
        <v>860</v>
      </c>
      <c r="C224" s="1" t="s">
        <v>460</v>
      </c>
      <c r="D224" s="1" t="s">
        <v>627</v>
      </c>
      <c r="E224" s="1" t="s">
        <v>6</v>
      </c>
    </row>
    <row r="225" spans="1:5" x14ac:dyDescent="0.3">
      <c r="A225" s="1" t="s">
        <v>461</v>
      </c>
      <c r="B225" s="1">
        <v>548</v>
      </c>
      <c r="C225" s="1" t="s">
        <v>462</v>
      </c>
      <c r="D225" s="1" t="s">
        <v>461</v>
      </c>
      <c r="E225" s="1" t="s">
        <v>15</v>
      </c>
    </row>
    <row r="226" spans="1:5" x14ac:dyDescent="0.3">
      <c r="A226" s="1" t="s">
        <v>463</v>
      </c>
      <c r="B226" s="1">
        <v>862</v>
      </c>
      <c r="C226" s="1" t="s">
        <v>464</v>
      </c>
      <c r="D226" s="1" t="s">
        <v>628</v>
      </c>
      <c r="E226" s="1" t="s">
        <v>29</v>
      </c>
    </row>
    <row r="227" spans="1:5" x14ac:dyDescent="0.3">
      <c r="A227" s="1" t="s">
        <v>465</v>
      </c>
      <c r="B227" s="1">
        <v>704</v>
      </c>
      <c r="C227" s="1" t="s">
        <v>466</v>
      </c>
      <c r="D227" s="1" t="s">
        <v>465</v>
      </c>
      <c r="E227" s="1" t="s">
        <v>6</v>
      </c>
    </row>
    <row r="228" spans="1:5" x14ac:dyDescent="0.3">
      <c r="A228" s="1" t="s">
        <v>467</v>
      </c>
      <c r="B228" s="1">
        <v>876</v>
      </c>
      <c r="C228" s="1" t="s">
        <v>468</v>
      </c>
      <c r="D228" s="1" t="s">
        <v>629</v>
      </c>
      <c r="E228" s="1" t="s">
        <v>15</v>
      </c>
    </row>
    <row r="229" spans="1:5" x14ac:dyDescent="0.3">
      <c r="A229" s="1" t="s">
        <v>469</v>
      </c>
      <c r="B229" s="1">
        <v>887</v>
      </c>
      <c r="C229" s="1" t="s">
        <v>470</v>
      </c>
      <c r="D229" s="1" t="s">
        <v>630</v>
      </c>
      <c r="E229" s="1" t="s">
        <v>32</v>
      </c>
    </row>
    <row r="230" spans="1:5" x14ac:dyDescent="0.3">
      <c r="A230" s="1" t="s">
        <v>471</v>
      </c>
      <c r="B230" s="1">
        <v>894</v>
      </c>
      <c r="C230" s="1" t="s">
        <v>472</v>
      </c>
      <c r="D230" s="1" t="s">
        <v>631</v>
      </c>
      <c r="E230" s="1" t="s">
        <v>81</v>
      </c>
    </row>
    <row r="231" spans="1:5" x14ac:dyDescent="0.3">
      <c r="A231" s="1" t="s">
        <v>473</v>
      </c>
      <c r="B231" s="1">
        <v>716</v>
      </c>
      <c r="C231" s="1" t="s">
        <v>474</v>
      </c>
      <c r="D231" s="1" t="s">
        <v>473</v>
      </c>
      <c r="E231" s="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7FE1-7A23-4F5F-9046-82C60FAC98F7}">
  <dimension ref="A1:G874"/>
  <sheetViews>
    <sheetView tabSelected="1" workbookViewId="0">
      <selection activeCell="B6" sqref="B6"/>
    </sheetView>
  </sheetViews>
  <sheetFormatPr baseColWidth="10" defaultRowHeight="14.4" x14ac:dyDescent="0.3"/>
  <cols>
    <col min="1" max="2" width="36.6640625" customWidth="1"/>
    <col min="3" max="3" width="13.21875" customWidth="1"/>
    <col min="5" max="6" width="31.109375" style="8" customWidth="1"/>
    <col min="7" max="7" width="26.88671875" style="3" customWidth="1"/>
  </cols>
  <sheetData>
    <row r="1" spans="1:7" x14ac:dyDescent="0.3">
      <c r="A1" s="2" t="s">
        <v>633</v>
      </c>
      <c r="B1" s="2" t="s">
        <v>642</v>
      </c>
      <c r="C1" s="2" t="s">
        <v>634</v>
      </c>
      <c r="D1" s="2" t="s">
        <v>635</v>
      </c>
      <c r="E1" s="6" t="s">
        <v>636</v>
      </c>
      <c r="F1" s="6" t="s">
        <v>637</v>
      </c>
      <c r="G1" s="5" t="s">
        <v>638</v>
      </c>
    </row>
    <row r="2" spans="1:7" x14ac:dyDescent="0.3">
      <c r="A2" s="1" t="s">
        <v>475</v>
      </c>
      <c r="B2" s="1" t="str">
        <f>VLOOKUP(C2,'Code ONU'!$C$1:$E$231,3,FALSE)</f>
        <v>Europe centrale et orientale</v>
      </c>
      <c r="C2" s="1" t="s">
        <v>8</v>
      </c>
      <c r="D2" s="1">
        <v>2025</v>
      </c>
      <c r="E2" s="7">
        <v>2771.5075000000002</v>
      </c>
      <c r="F2" s="7">
        <v>28.748999999999999</v>
      </c>
      <c r="G2" s="4">
        <v>1.04E-2</v>
      </c>
    </row>
    <row r="3" spans="1:7" x14ac:dyDescent="0.3">
      <c r="A3" s="1" t="s">
        <v>476</v>
      </c>
      <c r="B3" s="1" t="str">
        <f>VLOOKUP(C3,'Code ONU'!$C$1:$E$231,3,FALSE)</f>
        <v>Afrique du Nord</v>
      </c>
      <c r="C3" s="1" t="s">
        <v>11</v>
      </c>
      <c r="D3" s="1">
        <v>2025</v>
      </c>
      <c r="E3" s="7">
        <v>47435.311500000003</v>
      </c>
      <c r="F3" s="7">
        <v>15589.056</v>
      </c>
      <c r="G3" s="4">
        <v>0.3286</v>
      </c>
    </row>
    <row r="4" spans="1:7" x14ac:dyDescent="0.3">
      <c r="A4" s="1" t="s">
        <v>533</v>
      </c>
      <c r="B4" s="1" t="str">
        <f>VLOOKUP(C4,'Code ONU'!$C$1:$E$231,3,FALSE)</f>
        <v>Europe occidentale</v>
      </c>
      <c r="C4" s="1" t="s">
        <v>175</v>
      </c>
      <c r="D4" s="1">
        <v>2025</v>
      </c>
      <c r="E4" s="7">
        <v>84075.074500000002</v>
      </c>
      <c r="F4" s="7">
        <v>14527.367</v>
      </c>
      <c r="G4" s="4">
        <v>0.17280000000000001</v>
      </c>
    </row>
    <row r="5" spans="1:7" x14ac:dyDescent="0.3">
      <c r="A5" s="1" t="s">
        <v>478</v>
      </c>
      <c r="B5" s="1" t="str">
        <f>VLOOKUP(C5,'Code ONU'!$C$1:$E$231,3,FALSE)</f>
        <v>Europe occidentale</v>
      </c>
      <c r="C5" s="1" t="s">
        <v>17</v>
      </c>
      <c r="D5" s="1">
        <v>2025</v>
      </c>
      <c r="E5" s="7">
        <v>82.904499999999999</v>
      </c>
      <c r="F5" s="7">
        <v>58.133000000000003</v>
      </c>
      <c r="G5" s="4">
        <v>0.70120000000000005</v>
      </c>
    </row>
    <row r="6" spans="1:7" x14ac:dyDescent="0.3">
      <c r="A6" s="1" t="s">
        <v>481</v>
      </c>
      <c r="B6" s="1" t="str">
        <f>VLOOKUP(C6,'Code ONU'!$C$1:$E$231,3,FALSE)</f>
        <v>Moyen-Orient</v>
      </c>
      <c r="C6" s="1" t="s">
        <v>31</v>
      </c>
      <c r="D6" s="1">
        <v>2025</v>
      </c>
      <c r="E6" s="7">
        <v>2952.3645000000001</v>
      </c>
      <c r="F6" s="7">
        <v>4.7240000000000002</v>
      </c>
      <c r="G6" s="4">
        <v>1.6000000000000001E-3</v>
      </c>
    </row>
    <row r="7" spans="1:7" x14ac:dyDescent="0.3">
      <c r="A7" s="1" t="s">
        <v>483</v>
      </c>
      <c r="B7" s="1" t="str">
        <f>VLOOKUP(C7,'Code ONU'!$C$1:$E$231,3,FALSE)</f>
        <v>Europe occidentale</v>
      </c>
      <c r="C7" s="1" t="s">
        <v>38</v>
      </c>
      <c r="D7" s="1">
        <v>2025</v>
      </c>
      <c r="E7" s="7">
        <v>9113.5740000000005</v>
      </c>
      <c r="F7" s="7">
        <v>916.37900000000002</v>
      </c>
      <c r="G7" s="4">
        <v>0.10059999999999999</v>
      </c>
    </row>
    <row r="8" spans="1:7" x14ac:dyDescent="0.3">
      <c r="A8" s="1" t="s">
        <v>488</v>
      </c>
      <c r="B8" s="1" t="str">
        <f>VLOOKUP(C8,'Code ONU'!$C$1:$E$231,3,FALSE)</f>
        <v>Europe occidentale</v>
      </c>
      <c r="C8" s="1" t="s">
        <v>52</v>
      </c>
      <c r="D8" s="1">
        <v>2025</v>
      </c>
      <c r="E8" s="7">
        <v>11758.602999999999</v>
      </c>
      <c r="F8" s="7">
        <v>9061.9230000000007</v>
      </c>
      <c r="G8" s="4">
        <v>0.77070000000000005</v>
      </c>
    </row>
    <row r="9" spans="1:7" x14ac:dyDescent="0.3">
      <c r="A9" s="1" t="s">
        <v>489</v>
      </c>
      <c r="B9" s="1" t="str">
        <f>VLOOKUP(C9,'Code ONU'!$C$1:$E$231,3,FALSE)</f>
        <v>Afrique de l'Ouest</v>
      </c>
      <c r="C9" s="1" t="s">
        <v>56</v>
      </c>
      <c r="D9" s="1">
        <v>2025</v>
      </c>
      <c r="E9" s="7">
        <v>14814.459500000001</v>
      </c>
      <c r="F9" s="7">
        <v>4992.009</v>
      </c>
      <c r="G9" s="4">
        <v>0.33700000000000002</v>
      </c>
    </row>
    <row r="10" spans="1:7" x14ac:dyDescent="0.3">
      <c r="A10" s="1" t="s">
        <v>493</v>
      </c>
      <c r="B10" s="1" t="str">
        <f>VLOOKUP(C10,'Code ONU'!$C$1:$E$231,3,FALSE)</f>
        <v>Europe centrale et orientale</v>
      </c>
      <c r="C10" s="1" t="s">
        <v>65</v>
      </c>
      <c r="D10" s="1">
        <v>2025</v>
      </c>
      <c r="E10" s="7">
        <v>3140.0954999999999</v>
      </c>
      <c r="F10" s="7">
        <v>24.013000000000002</v>
      </c>
      <c r="G10" s="4">
        <v>7.6E-3</v>
      </c>
    </row>
    <row r="11" spans="1:7" x14ac:dyDescent="0.3">
      <c r="A11" s="1" t="s">
        <v>497</v>
      </c>
      <c r="B11" s="1" t="str">
        <f>VLOOKUP(C11,'Code ONU'!$C$1:$E$231,3,FALSE)</f>
        <v>Europe centrale et orientale</v>
      </c>
      <c r="C11" s="1" t="s">
        <v>76</v>
      </c>
      <c r="D11" s="1">
        <v>2025</v>
      </c>
      <c r="E11" s="7">
        <v>6714.5595000000003</v>
      </c>
      <c r="F11" s="7">
        <v>129.709</v>
      </c>
      <c r="G11" s="4">
        <v>1.9300000000000001E-2</v>
      </c>
    </row>
    <row r="12" spans="1:7" x14ac:dyDescent="0.3">
      <c r="A12" s="1" t="s">
        <v>77</v>
      </c>
      <c r="B12" s="1" t="str">
        <f>VLOOKUP(C12,'Code ONU'!$C$1:$E$231,3,FALSE)</f>
        <v>Afrique de l'Ouest</v>
      </c>
      <c r="C12" s="1" t="s">
        <v>78</v>
      </c>
      <c r="D12" s="1">
        <v>2025</v>
      </c>
      <c r="E12" s="7">
        <v>24074.58</v>
      </c>
      <c r="F12" s="7">
        <v>5499.2529999999997</v>
      </c>
      <c r="G12" s="4">
        <v>0.22839999999999999</v>
      </c>
    </row>
    <row r="13" spans="1:7" x14ac:dyDescent="0.3">
      <c r="A13" s="1" t="s">
        <v>79</v>
      </c>
      <c r="B13" s="1" t="str">
        <f>VLOOKUP(C13,'Code ONU'!$C$1:$E$231,3,FALSE)</f>
        <v>Afrique de l'Est</v>
      </c>
      <c r="C13" s="1" t="s">
        <v>80</v>
      </c>
      <c r="D13" s="1">
        <v>2025</v>
      </c>
      <c r="E13" s="7">
        <v>14390.002500000001</v>
      </c>
      <c r="F13" s="7">
        <v>1249.675</v>
      </c>
      <c r="G13" s="4">
        <v>8.6800000000000002E-2</v>
      </c>
    </row>
    <row r="14" spans="1:7" x14ac:dyDescent="0.3">
      <c r="A14" s="1" t="s">
        <v>82</v>
      </c>
      <c r="B14" s="1" t="str">
        <f>VLOOKUP(C14,'Code ONU'!$C$1:$E$231,3,FALSE)</f>
        <v>Afrique de l'Ouest</v>
      </c>
      <c r="C14" s="1" t="s">
        <v>83</v>
      </c>
      <c r="D14" s="1">
        <v>2025</v>
      </c>
      <c r="E14" s="7">
        <v>527.32550000000003</v>
      </c>
      <c r="F14" s="7">
        <v>57.091999999999999</v>
      </c>
      <c r="G14" s="4">
        <v>0.10829999999999999</v>
      </c>
    </row>
    <row r="15" spans="1:7" x14ac:dyDescent="0.3">
      <c r="A15" s="1" t="s">
        <v>498</v>
      </c>
      <c r="B15" s="1" t="str">
        <f>VLOOKUP(C15,'Code ONU'!$C$1:$E$231,3,FALSE)</f>
        <v>Asie</v>
      </c>
      <c r="C15" s="1" t="s">
        <v>85</v>
      </c>
      <c r="D15" s="1">
        <v>2025</v>
      </c>
      <c r="E15" s="7">
        <v>17847.981500000002</v>
      </c>
      <c r="F15" s="7">
        <v>28.847000000000001</v>
      </c>
      <c r="G15" s="4">
        <v>1.6000000000000001E-3</v>
      </c>
    </row>
    <row r="16" spans="1:7" x14ac:dyDescent="0.3">
      <c r="A16" s="1" t="s">
        <v>499</v>
      </c>
      <c r="B16" s="1" t="str">
        <f>VLOOKUP(C16,'Code ONU'!$C$1:$E$231,3,FALSE)</f>
        <v>Afrique centrale</v>
      </c>
      <c r="C16" s="1" t="s">
        <v>87</v>
      </c>
      <c r="D16" s="1">
        <v>2025</v>
      </c>
      <c r="E16" s="7">
        <v>29879.337</v>
      </c>
      <c r="F16" s="7">
        <v>12267.152</v>
      </c>
      <c r="G16" s="4">
        <v>0.41060000000000002</v>
      </c>
    </row>
    <row r="17" spans="1:7" x14ac:dyDescent="0.3">
      <c r="A17" s="1" t="s">
        <v>88</v>
      </c>
      <c r="B17" s="1" t="str">
        <f>VLOOKUP(C17,'Code ONU'!$C$1:$E$231,3,FALSE)</f>
        <v>Amériques</v>
      </c>
      <c r="C17" s="1" t="s">
        <v>89</v>
      </c>
      <c r="D17" s="1">
        <v>2025</v>
      </c>
      <c r="E17" s="7">
        <v>41423.699999999997</v>
      </c>
      <c r="F17" s="7">
        <v>11337.602999999999</v>
      </c>
      <c r="G17" s="4">
        <v>0.2737</v>
      </c>
    </row>
    <row r="18" spans="1:7" x14ac:dyDescent="0.3">
      <c r="A18" s="1" t="s">
        <v>501</v>
      </c>
      <c r="B18" s="1" t="str">
        <f>VLOOKUP(C18,'Code ONU'!$C$1:$E$231,3,FALSE)</f>
        <v>Afrique centrale</v>
      </c>
      <c r="C18" s="1" t="s">
        <v>93</v>
      </c>
      <c r="D18" s="1">
        <v>2025</v>
      </c>
      <c r="E18" s="7">
        <v>5513.2820000000002</v>
      </c>
      <c r="F18" s="7">
        <v>1344.7639999999999</v>
      </c>
      <c r="G18" s="4">
        <v>0.24390000000000001</v>
      </c>
    </row>
    <row r="19" spans="1:7" x14ac:dyDescent="0.3">
      <c r="A19" s="1" t="s">
        <v>512</v>
      </c>
      <c r="B19" s="1" t="str">
        <f>VLOOKUP(C19,'Code ONU'!$C$1:$E$231,3,FALSE)</f>
        <v>Moyen-Orient</v>
      </c>
      <c r="C19" s="1" t="s">
        <v>123</v>
      </c>
      <c r="D19" s="1">
        <v>2025</v>
      </c>
      <c r="E19" s="7">
        <v>1370.7539999999999</v>
      </c>
      <c r="F19" s="7">
        <v>110.241</v>
      </c>
      <c r="G19" s="4">
        <v>8.0399999999999999E-2</v>
      </c>
    </row>
    <row r="20" spans="1:7" x14ac:dyDescent="0.3">
      <c r="A20" s="1" t="s">
        <v>507</v>
      </c>
      <c r="B20" s="1" t="str">
        <f>VLOOKUP(C20,'Code ONU'!$C$1:$E$231,3,FALSE)</f>
        <v>Amériques</v>
      </c>
      <c r="C20" s="1" t="s">
        <v>105</v>
      </c>
      <c r="D20" s="1">
        <v>2025</v>
      </c>
      <c r="E20" s="7">
        <v>53425.635499999997</v>
      </c>
      <c r="F20" s="7">
        <v>4.8079999999999998</v>
      </c>
      <c r="G20" s="4">
        <v>1E-4</v>
      </c>
    </row>
    <row r="21" spans="1:7" x14ac:dyDescent="0.3">
      <c r="A21" s="1" t="s">
        <v>508</v>
      </c>
      <c r="B21" s="1" t="str">
        <f>VLOOKUP(C21,'Code ONU'!$C$1:$E$231,3,FALSE)</f>
        <v>Afrique australe et Océan Indien</v>
      </c>
      <c r="C21" s="1" t="s">
        <v>107</v>
      </c>
      <c r="D21" s="1">
        <v>2025</v>
      </c>
      <c r="E21" s="7">
        <v>882.84749999999997</v>
      </c>
      <c r="F21" s="7">
        <v>333.13600000000002</v>
      </c>
      <c r="G21" s="4">
        <v>0.37730000000000002</v>
      </c>
    </row>
    <row r="22" spans="1:7" x14ac:dyDescent="0.3">
      <c r="A22" s="1" t="s">
        <v>108</v>
      </c>
      <c r="B22" s="1" t="str">
        <f>VLOOKUP(C22,'Code ONU'!$C$1:$E$231,3,FALSE)</f>
        <v>Afrique centrale</v>
      </c>
      <c r="C22" s="1" t="s">
        <v>109</v>
      </c>
      <c r="D22" s="1">
        <v>2025</v>
      </c>
      <c r="E22" s="7">
        <v>6484.4369999999999</v>
      </c>
      <c r="F22" s="7">
        <v>3981.1219999999998</v>
      </c>
      <c r="G22" s="4">
        <v>0.61399999999999999</v>
      </c>
    </row>
    <row r="23" spans="1:7" x14ac:dyDescent="0.3">
      <c r="A23" s="1" t="s">
        <v>515</v>
      </c>
      <c r="B23" s="1" t="str">
        <f>VLOOKUP(C23,'Code ONU'!$C$1:$E$231,3,FALSE)</f>
        <v>Afrique centrale</v>
      </c>
      <c r="C23" s="1" t="s">
        <v>129</v>
      </c>
      <c r="D23" s="1">
        <v>2025</v>
      </c>
      <c r="E23" s="7">
        <v>112832.473</v>
      </c>
      <c r="F23" s="7">
        <v>57196.156999999999</v>
      </c>
      <c r="G23" s="4">
        <v>0.50690000000000002</v>
      </c>
    </row>
    <row r="24" spans="1:7" x14ac:dyDescent="0.3">
      <c r="A24" s="1" t="s">
        <v>112</v>
      </c>
      <c r="B24" s="1" t="str">
        <f>VLOOKUP(C24,'Code ONU'!$C$1:$E$231,3,FALSE)</f>
        <v>Amériques</v>
      </c>
      <c r="C24" s="1" t="s">
        <v>113</v>
      </c>
      <c r="D24" s="1">
        <v>2025</v>
      </c>
      <c r="E24" s="7">
        <v>5152.95</v>
      </c>
      <c r="F24" s="7">
        <v>5.202</v>
      </c>
      <c r="G24" s="4">
        <v>1E-3</v>
      </c>
    </row>
    <row r="25" spans="1:7" x14ac:dyDescent="0.3">
      <c r="A25" s="1" t="s">
        <v>510</v>
      </c>
      <c r="B25" s="1" t="str">
        <f>VLOOKUP(C25,'Code ONU'!$C$1:$E$231,3,FALSE)</f>
        <v>Afrique de l'Ouest</v>
      </c>
      <c r="C25" s="1" t="s">
        <v>115</v>
      </c>
      <c r="D25" s="1">
        <v>2025</v>
      </c>
      <c r="E25" s="7">
        <v>32711.5465</v>
      </c>
      <c r="F25" s="7">
        <v>11912.807000000001</v>
      </c>
      <c r="G25" s="4">
        <v>0.36420000000000002</v>
      </c>
    </row>
    <row r="26" spans="1:7" x14ac:dyDescent="0.3">
      <c r="A26" s="1" t="s">
        <v>511</v>
      </c>
      <c r="B26" s="1" t="str">
        <f>VLOOKUP(C26,'Code ONU'!$C$1:$E$231,3,FALSE)</f>
        <v>Europe centrale et orientale</v>
      </c>
      <c r="C26" s="1" t="s">
        <v>117</v>
      </c>
      <c r="D26" s="1">
        <v>2025</v>
      </c>
      <c r="E26" s="7">
        <v>3848.16</v>
      </c>
      <c r="F26" s="7">
        <v>69.900999999999996</v>
      </c>
      <c r="G26" s="4">
        <v>1.8200000000000001E-2</v>
      </c>
    </row>
    <row r="27" spans="1:7" x14ac:dyDescent="0.3">
      <c r="A27" s="1" t="s">
        <v>516</v>
      </c>
      <c r="B27" s="1" t="str">
        <f>VLOOKUP(C27,'Code ONU'!$C$1:$E$231,3,FALSE)</f>
        <v>Europe occidentale</v>
      </c>
      <c r="C27" s="1" t="s">
        <v>131</v>
      </c>
      <c r="D27" s="1">
        <v>2025</v>
      </c>
      <c r="E27" s="7">
        <v>6002.5069999999996</v>
      </c>
      <c r="F27" s="7">
        <v>524.24400000000003</v>
      </c>
      <c r="G27" s="4">
        <v>8.7300000000000003E-2</v>
      </c>
    </row>
    <row r="28" spans="1:7" x14ac:dyDescent="0.3">
      <c r="A28" s="1" t="s">
        <v>132</v>
      </c>
      <c r="B28" s="1" t="str">
        <f>VLOOKUP(C28,'Code ONU'!$C$1:$E$231,3,FALSE)</f>
        <v>Afrique de l'Est</v>
      </c>
      <c r="C28" s="1" t="s">
        <v>133</v>
      </c>
      <c r="D28" s="1">
        <v>2025</v>
      </c>
      <c r="E28" s="7">
        <v>1184.0764999999999</v>
      </c>
      <c r="F28" s="7">
        <v>592.03800000000001</v>
      </c>
      <c r="G28" s="4">
        <v>0.5</v>
      </c>
    </row>
    <row r="29" spans="1:7" x14ac:dyDescent="0.3">
      <c r="A29" s="1" t="s">
        <v>517</v>
      </c>
      <c r="B29" s="1" t="str">
        <f>VLOOKUP(C29,'Code ONU'!$C$1:$E$231,3,FALSE)</f>
        <v>Caraïbes</v>
      </c>
      <c r="C29" s="1" t="s">
        <v>135</v>
      </c>
      <c r="D29" s="1">
        <v>2025</v>
      </c>
      <c r="E29" s="7">
        <v>65.871499999999997</v>
      </c>
      <c r="F29" s="7">
        <v>6.3159999999999998</v>
      </c>
      <c r="G29" s="4">
        <v>9.5899999999999999E-2</v>
      </c>
    </row>
    <row r="30" spans="1:7" x14ac:dyDescent="0.3">
      <c r="A30" s="1" t="s">
        <v>520</v>
      </c>
      <c r="B30" s="1" t="str">
        <f>VLOOKUP(C30,'Code ONU'!$C$1:$E$231,3,FALSE)</f>
        <v>Afrique du Nord</v>
      </c>
      <c r="C30" s="1" t="s">
        <v>141</v>
      </c>
      <c r="D30" s="1">
        <v>2025</v>
      </c>
      <c r="E30" s="7">
        <v>118365.9945</v>
      </c>
      <c r="F30" s="7">
        <v>3573.2860000000001</v>
      </c>
      <c r="G30" s="4">
        <v>3.0200000000000001E-2</v>
      </c>
    </row>
    <row r="31" spans="1:7" x14ac:dyDescent="0.3">
      <c r="A31" s="1" t="s">
        <v>639</v>
      </c>
      <c r="B31" s="1" t="str">
        <f>VLOOKUP(C31,'Code ONU'!$C$1:$E$231,3,FALSE)</f>
        <v>Moyen-Orient</v>
      </c>
      <c r="C31" s="1" t="s">
        <v>448</v>
      </c>
      <c r="D31" s="1">
        <v>2025</v>
      </c>
      <c r="E31" s="7">
        <v>11346</v>
      </c>
      <c r="F31" s="7">
        <v>297.27699999999999</v>
      </c>
      <c r="G31" s="4">
        <v>2.6200000000000001E-2</v>
      </c>
    </row>
    <row r="32" spans="1:7" x14ac:dyDescent="0.3">
      <c r="A32" s="1" t="s">
        <v>607</v>
      </c>
      <c r="B32" s="1" t="str">
        <f>VLOOKUP(C32,'Code ONU'!$C$1:$E$231,3,FALSE)</f>
        <v>Europe occidentale</v>
      </c>
      <c r="C32" s="1" t="s">
        <v>404</v>
      </c>
      <c r="D32" s="1">
        <v>2025</v>
      </c>
      <c r="E32" s="7">
        <v>47889.957999999999</v>
      </c>
      <c r="F32" s="7">
        <v>5749.0569999999998</v>
      </c>
      <c r="G32" s="4">
        <v>0.12</v>
      </c>
    </row>
    <row r="33" spans="1:7" x14ac:dyDescent="0.3">
      <c r="A33" s="1" t="s">
        <v>523</v>
      </c>
      <c r="B33" s="1" t="str">
        <f>VLOOKUP(C33,'Code ONU'!$C$1:$E$231,3,FALSE)</f>
        <v>Europe occidentale</v>
      </c>
      <c r="C33" s="1" t="s">
        <v>149</v>
      </c>
      <c r="D33" s="1">
        <v>2025</v>
      </c>
      <c r="E33" s="7">
        <v>1344.232</v>
      </c>
      <c r="F33" s="7">
        <v>18.713000000000001</v>
      </c>
      <c r="G33" s="4">
        <v>1.3899999999999999E-2</v>
      </c>
    </row>
    <row r="34" spans="1:7" x14ac:dyDescent="0.3">
      <c r="A34" s="1" t="s">
        <v>640</v>
      </c>
      <c r="B34" s="1" t="str">
        <f>VLOOKUP(C34,'Code ONU'!$C$1:$E$231,3,FALSE)</f>
        <v>Amériques</v>
      </c>
      <c r="C34" s="1" t="s">
        <v>454</v>
      </c>
      <c r="D34" s="1">
        <v>2025</v>
      </c>
      <c r="E34" s="7">
        <v>347275.8075</v>
      </c>
      <c r="F34" s="7">
        <v>2210.0459999999998</v>
      </c>
      <c r="G34" s="4">
        <v>6.4000000000000003E-3</v>
      </c>
    </row>
    <row r="35" spans="1:7" x14ac:dyDescent="0.3">
      <c r="A35" s="1" t="s">
        <v>587</v>
      </c>
      <c r="B35" s="1" t="str">
        <f>VLOOKUP(C35,'Code ONU'!$C$1:$E$231,3,FALSE)</f>
        <v>Europe centrale et orientale</v>
      </c>
      <c r="C35" s="1" t="s">
        <v>356</v>
      </c>
      <c r="D35" s="1">
        <v>2025</v>
      </c>
      <c r="E35" s="7">
        <v>143997.39300000001</v>
      </c>
      <c r="F35" s="7">
        <v>620.92399999999998</v>
      </c>
      <c r="G35" s="4">
        <v>4.3E-3</v>
      </c>
    </row>
    <row r="36" spans="1:7" x14ac:dyDescent="0.3">
      <c r="A36" s="1" t="s">
        <v>528</v>
      </c>
      <c r="B36" s="1" t="str">
        <f>VLOOKUP(C36,'Code ONU'!$C$1:$E$231,3,FALSE)</f>
        <v>Europe occidentale</v>
      </c>
      <c r="C36" s="1" t="s">
        <v>161</v>
      </c>
      <c r="D36" s="1">
        <v>2025</v>
      </c>
      <c r="E36" s="7">
        <v>5623.3294999999998</v>
      </c>
      <c r="F36" s="7">
        <v>469.79500000000002</v>
      </c>
      <c r="G36" s="4">
        <v>8.3500000000000005E-2</v>
      </c>
    </row>
    <row r="37" spans="1:7" x14ac:dyDescent="0.3">
      <c r="A37" s="1" t="s">
        <v>162</v>
      </c>
      <c r="B37" s="1" t="str">
        <f>VLOOKUP(C37,'Code ONU'!$C$1:$E$231,3,FALSE)</f>
        <v>Europe occidentale</v>
      </c>
      <c r="C37" s="1" t="s">
        <v>163</v>
      </c>
      <c r="D37" s="1">
        <v>2025</v>
      </c>
      <c r="E37" s="7">
        <v>66650.804499999998</v>
      </c>
      <c r="F37" s="7">
        <v>64415.732000000004</v>
      </c>
      <c r="G37" s="4">
        <v>0.96650000000000003</v>
      </c>
    </row>
    <row r="38" spans="1:7" x14ac:dyDescent="0.3">
      <c r="A38" s="1" t="s">
        <v>168</v>
      </c>
      <c r="B38" s="1" t="str">
        <f>VLOOKUP(C38,'Code ONU'!$C$1:$E$231,3,FALSE)</f>
        <v>Afrique centrale</v>
      </c>
      <c r="C38" s="1" t="s">
        <v>169</v>
      </c>
      <c r="D38" s="1">
        <v>2025</v>
      </c>
      <c r="E38" s="7">
        <v>2593.1295</v>
      </c>
      <c r="F38" s="7">
        <v>1719.1210000000001</v>
      </c>
      <c r="G38" s="4">
        <v>0.66300000000000003</v>
      </c>
    </row>
    <row r="39" spans="1:7" x14ac:dyDescent="0.3">
      <c r="A39" s="1" t="s">
        <v>531</v>
      </c>
      <c r="B39" s="1" t="str">
        <f>VLOOKUP(C39,'Code ONU'!$C$1:$E$231,3,FALSE)</f>
        <v>Afrique de l'Ouest</v>
      </c>
      <c r="C39" s="1" t="s">
        <v>171</v>
      </c>
      <c r="D39" s="1">
        <v>2025</v>
      </c>
      <c r="E39" s="7">
        <v>2822.0929999999998</v>
      </c>
      <c r="F39" s="7">
        <v>564.41899999999998</v>
      </c>
      <c r="G39" s="4">
        <v>0.2</v>
      </c>
    </row>
    <row r="40" spans="1:7" x14ac:dyDescent="0.3">
      <c r="A40" s="1" t="s">
        <v>532</v>
      </c>
      <c r="B40" s="1" t="str">
        <f>VLOOKUP(C40,'Code ONU'!$C$1:$E$231,3,FALSE)</f>
        <v>Moyen-Orient</v>
      </c>
      <c r="C40" s="1" t="s">
        <v>173</v>
      </c>
      <c r="D40" s="1">
        <v>2025</v>
      </c>
      <c r="E40" s="7">
        <v>3806.6709999999998</v>
      </c>
      <c r="F40" s="7">
        <v>15.916</v>
      </c>
      <c r="G40" s="4">
        <v>4.1999999999999997E-3</v>
      </c>
    </row>
    <row r="41" spans="1:7" x14ac:dyDescent="0.3">
      <c r="A41" s="1" t="s">
        <v>176</v>
      </c>
      <c r="B41" s="1" t="str">
        <f>VLOOKUP(C41,'Code ONU'!$C$1:$E$231,3,FALSE)</f>
        <v>Afrique de l'Ouest</v>
      </c>
      <c r="C41" s="1" t="s">
        <v>177</v>
      </c>
      <c r="D41" s="1">
        <v>2025</v>
      </c>
      <c r="E41" s="7">
        <v>35064.272499999999</v>
      </c>
      <c r="F41" s="7">
        <v>645.18299999999999</v>
      </c>
      <c r="G41" s="4">
        <v>1.84E-2</v>
      </c>
    </row>
    <row r="42" spans="1:7" x14ac:dyDescent="0.3">
      <c r="A42" s="1" t="s">
        <v>534</v>
      </c>
      <c r="B42" s="1" t="str">
        <f>VLOOKUP(C42,'Code ONU'!$C$1:$E$231,3,FALSE)</f>
        <v>Europe occidentale</v>
      </c>
      <c r="C42" s="1" t="s">
        <v>181</v>
      </c>
      <c r="D42" s="1">
        <v>2025</v>
      </c>
      <c r="E42" s="7">
        <v>9938.8444999999992</v>
      </c>
      <c r="F42" s="7">
        <v>605.34799999999996</v>
      </c>
      <c r="G42" s="4">
        <v>6.0900000000000003E-2</v>
      </c>
    </row>
    <row r="43" spans="1:7" x14ac:dyDescent="0.3">
      <c r="A43" s="1" t="s">
        <v>186</v>
      </c>
      <c r="B43" s="1" t="str">
        <f>VLOOKUP(C43,'Code ONU'!$C$1:$E$231,3,FALSE)</f>
        <v>Caraïbes</v>
      </c>
      <c r="C43" s="1" t="s">
        <v>187</v>
      </c>
      <c r="D43" s="1">
        <v>2025</v>
      </c>
      <c r="E43" s="7">
        <v>373.791</v>
      </c>
      <c r="F43" s="7">
        <v>313.98399999999998</v>
      </c>
      <c r="G43" s="4">
        <v>0.84</v>
      </c>
    </row>
    <row r="44" spans="1:7" x14ac:dyDescent="0.3">
      <c r="A44" s="1" t="s">
        <v>537</v>
      </c>
      <c r="B44" s="1" t="str">
        <f>VLOOKUP(C44,'Code ONU'!$C$1:$E$231,3,FALSE)</f>
        <v>Afrique de l'Ouest</v>
      </c>
      <c r="C44" s="1" t="s">
        <v>193</v>
      </c>
      <c r="D44" s="1">
        <v>2025</v>
      </c>
      <c r="E44" s="7">
        <v>15099.727000000001</v>
      </c>
      <c r="F44" s="7">
        <v>4201.7460000000001</v>
      </c>
      <c r="G44" s="4">
        <v>0.27829999999999999</v>
      </c>
    </row>
    <row r="45" spans="1:7" x14ac:dyDescent="0.3">
      <c r="A45" s="1" t="s">
        <v>521</v>
      </c>
      <c r="B45" s="1" t="str">
        <f>VLOOKUP(C45,'Code ONU'!$C$1:$E$231,3,FALSE)</f>
        <v>Afrique centrale</v>
      </c>
      <c r="C45" s="1" t="s">
        <v>145</v>
      </c>
      <c r="D45" s="1">
        <v>2025</v>
      </c>
      <c r="E45" s="7">
        <v>1938.431</v>
      </c>
      <c r="F45" s="7">
        <v>560.42200000000003</v>
      </c>
      <c r="G45" s="4">
        <v>0.28910000000000002</v>
      </c>
    </row>
    <row r="46" spans="1:7" x14ac:dyDescent="0.3">
      <c r="A46" s="1" t="s">
        <v>538</v>
      </c>
      <c r="B46" s="1" t="str">
        <f>VLOOKUP(C46,'Code ONU'!$C$1:$E$231,3,FALSE)</f>
        <v>Afrique de l'Ouest</v>
      </c>
      <c r="C46" s="1" t="s">
        <v>195</v>
      </c>
      <c r="D46" s="1">
        <v>2025</v>
      </c>
      <c r="E46" s="7">
        <v>2249.5149999999999</v>
      </c>
      <c r="F46" s="7">
        <v>345.98200000000003</v>
      </c>
      <c r="G46" s="4">
        <v>0.15379999999999999</v>
      </c>
    </row>
    <row r="47" spans="1:7" x14ac:dyDescent="0.3">
      <c r="A47" s="1" t="s">
        <v>529</v>
      </c>
      <c r="B47" s="1" t="str">
        <f>VLOOKUP(C47,'Code ONU'!$C$1:$E$231,3,FALSE)</f>
        <v>Amériques</v>
      </c>
      <c r="C47" s="1" t="s">
        <v>165</v>
      </c>
      <c r="D47" s="1">
        <v>2025</v>
      </c>
      <c r="E47" s="7">
        <v>313.66550000000001</v>
      </c>
      <c r="F47" s="7">
        <v>194.47300000000001</v>
      </c>
      <c r="G47" s="4">
        <v>0.62</v>
      </c>
    </row>
    <row r="48" spans="1:7" x14ac:dyDescent="0.3">
      <c r="A48" s="1" t="s">
        <v>539</v>
      </c>
      <c r="B48" s="1" t="str">
        <f>VLOOKUP(C48,'Code ONU'!$C$1:$E$231,3,FALSE)</f>
        <v>Caraïbes</v>
      </c>
      <c r="C48" s="1" t="s">
        <v>199</v>
      </c>
      <c r="D48" s="1">
        <v>2025</v>
      </c>
      <c r="E48" s="7">
        <v>11906.095499999999</v>
      </c>
      <c r="F48" s="7">
        <v>5000.9189999999999</v>
      </c>
      <c r="G48" s="4">
        <v>0.42</v>
      </c>
    </row>
    <row r="49" spans="1:7" x14ac:dyDescent="0.3">
      <c r="A49" s="1" t="s">
        <v>540</v>
      </c>
      <c r="B49" s="1" t="str">
        <f>VLOOKUP(C49,'Code ONU'!$C$1:$E$231,3,FALSE)</f>
        <v>Europe centrale et orientale</v>
      </c>
      <c r="C49" s="1" t="s">
        <v>203</v>
      </c>
      <c r="D49" s="1">
        <v>2025</v>
      </c>
      <c r="E49" s="7">
        <v>9632.2870000000003</v>
      </c>
      <c r="F49" s="7">
        <v>147.55699999999999</v>
      </c>
      <c r="G49" s="4">
        <v>1.5299999999999999E-2</v>
      </c>
    </row>
    <row r="50" spans="1:7" x14ac:dyDescent="0.3">
      <c r="A50" s="1" t="s">
        <v>626</v>
      </c>
      <c r="B50" s="1" t="str">
        <f>VLOOKUP(C50,'Code ONU'!$C$1:$E$231,3,FALSE)</f>
        <v>Caraïbes</v>
      </c>
      <c r="C50" s="1" t="s">
        <v>456</v>
      </c>
      <c r="D50" s="1">
        <v>2025</v>
      </c>
      <c r="E50" s="7">
        <v>84.138499999999993</v>
      </c>
      <c r="F50" s="7">
        <v>7.4279999999999999</v>
      </c>
      <c r="G50" s="4">
        <v>8.8300000000000003E-2</v>
      </c>
    </row>
    <row r="51" spans="1:7" x14ac:dyDescent="0.3">
      <c r="A51" s="1" t="s">
        <v>629</v>
      </c>
      <c r="B51" s="1" t="str">
        <f>VLOOKUP(C51,'Code ONU'!$C$1:$E$231,3,FALSE)</f>
        <v>Océanie</v>
      </c>
      <c r="C51" s="1" t="s">
        <v>468</v>
      </c>
      <c r="D51" s="1">
        <v>2025</v>
      </c>
      <c r="E51" s="7">
        <v>11.194000000000001</v>
      </c>
      <c r="F51" s="7">
        <v>9.8770000000000007</v>
      </c>
      <c r="G51" s="4">
        <v>0.88239999999999996</v>
      </c>
    </row>
    <row r="52" spans="1:7" x14ac:dyDescent="0.3">
      <c r="A52" s="1" t="s">
        <v>545</v>
      </c>
      <c r="B52" s="1" t="str">
        <f>VLOOKUP(C52,'Code ONU'!$C$1:$E$231,3,FALSE)</f>
        <v>Europe occidentale</v>
      </c>
      <c r="C52" s="1" t="s">
        <v>215</v>
      </c>
      <c r="D52" s="1">
        <v>2025</v>
      </c>
      <c r="E52" s="7">
        <v>5308.0389999999998</v>
      </c>
      <c r="F52" s="7">
        <v>892.76400000000001</v>
      </c>
      <c r="G52" s="4">
        <v>0.16819999999999999</v>
      </c>
    </row>
    <row r="53" spans="1:7" x14ac:dyDescent="0.3">
      <c r="A53" s="1" t="s">
        <v>541</v>
      </c>
      <c r="B53" s="1" t="str">
        <f>VLOOKUP(C53,'Code ONU'!$C$1:$E$231,3,FALSE)</f>
        <v>Europe occidentale</v>
      </c>
      <c r="C53" s="1" t="s">
        <v>205</v>
      </c>
      <c r="D53" s="1">
        <v>2025</v>
      </c>
      <c r="E53" s="7">
        <v>398.26600000000002</v>
      </c>
      <c r="F53" s="7">
        <v>26.731000000000002</v>
      </c>
      <c r="G53" s="4">
        <v>6.7100000000000007E-2</v>
      </c>
    </row>
    <row r="54" spans="1:7" x14ac:dyDescent="0.3">
      <c r="A54" s="1" t="s">
        <v>547</v>
      </c>
      <c r="B54" s="1" t="str">
        <f>VLOOKUP(C54,'Code ONU'!$C$1:$E$231,3,FALSE)</f>
        <v>Moyen-Orient</v>
      </c>
      <c r="C54" s="1" t="s">
        <v>219</v>
      </c>
      <c r="D54" s="1">
        <v>2025</v>
      </c>
      <c r="E54" s="7">
        <v>9517.1805000000004</v>
      </c>
      <c r="F54" s="7">
        <v>562.95799999999997</v>
      </c>
      <c r="G54" s="4">
        <v>5.9200000000000003E-2</v>
      </c>
    </row>
    <row r="55" spans="1:7" x14ac:dyDescent="0.3">
      <c r="A55" s="1" t="s">
        <v>548</v>
      </c>
      <c r="B55" s="1" t="str">
        <f>VLOOKUP(C55,'Code ONU'!$C$1:$E$231,3,FALSE)</f>
        <v>Europe occidentale</v>
      </c>
      <c r="C55" s="1" t="s">
        <v>221</v>
      </c>
      <c r="D55" s="1">
        <v>2025</v>
      </c>
      <c r="E55" s="7">
        <v>59146.26</v>
      </c>
      <c r="F55" s="7">
        <v>12420.796</v>
      </c>
      <c r="G55" s="4">
        <v>0.21</v>
      </c>
    </row>
    <row r="56" spans="1:7" x14ac:dyDescent="0.3">
      <c r="A56" s="1" t="s">
        <v>550</v>
      </c>
      <c r="B56" s="1" t="str">
        <f>VLOOKUP(C56,'Code ONU'!$C$1:$E$231,3,FALSE)</f>
        <v>Asie</v>
      </c>
      <c r="C56" s="1" t="s">
        <v>225</v>
      </c>
      <c r="D56" s="1">
        <v>2025</v>
      </c>
      <c r="E56" s="7">
        <v>123103.47900000001</v>
      </c>
      <c r="F56" s="7">
        <v>30.667999999999999</v>
      </c>
      <c r="G56" s="4">
        <v>2.0000000000000001E-4</v>
      </c>
    </row>
    <row r="57" spans="1:7" x14ac:dyDescent="0.3">
      <c r="A57" s="1" t="s">
        <v>234</v>
      </c>
      <c r="B57" s="1" t="str">
        <f>VLOOKUP(C57,'Code ONU'!$C$1:$E$231,3,FALSE)</f>
        <v>Europe centrale et orientale</v>
      </c>
      <c r="C57" s="1" t="s">
        <v>235</v>
      </c>
      <c r="D57" s="1">
        <v>2025</v>
      </c>
      <c r="E57" s="7">
        <v>1674.125</v>
      </c>
      <c r="F57" s="7">
        <v>23.542999999999999</v>
      </c>
      <c r="G57" s="4">
        <v>1.41E-2</v>
      </c>
    </row>
    <row r="58" spans="1:7" x14ac:dyDescent="0.3">
      <c r="A58" s="1" t="s">
        <v>554</v>
      </c>
      <c r="B58" s="1" t="str">
        <f>VLOOKUP(C58,'Code ONU'!$C$1:$E$231,3,FALSE)</f>
        <v>Asie</v>
      </c>
      <c r="C58" s="1" t="s">
        <v>241</v>
      </c>
      <c r="D58" s="1">
        <v>2025</v>
      </c>
      <c r="E58" s="7">
        <v>7873.0455000000002</v>
      </c>
      <c r="F58" s="7">
        <v>214.88800000000001</v>
      </c>
      <c r="G58" s="4">
        <v>2.7300000000000001E-2</v>
      </c>
    </row>
    <row r="59" spans="1:7" x14ac:dyDescent="0.3">
      <c r="A59" s="1" t="s">
        <v>555</v>
      </c>
      <c r="B59" s="1" t="str">
        <f>VLOOKUP(C59,'Code ONU'!$C$1:$E$231,3,FALSE)</f>
        <v>Europe occidentale</v>
      </c>
      <c r="C59" s="1" t="s">
        <v>243</v>
      </c>
      <c r="D59" s="1">
        <v>2025</v>
      </c>
      <c r="E59" s="7">
        <v>1853.559</v>
      </c>
      <c r="F59" s="7">
        <v>23.504000000000001</v>
      </c>
      <c r="G59" s="4">
        <v>1.2699999999999999E-2</v>
      </c>
    </row>
    <row r="60" spans="1:7" x14ac:dyDescent="0.3">
      <c r="A60" s="1" t="s">
        <v>556</v>
      </c>
      <c r="B60" s="1" t="str">
        <f>VLOOKUP(C60,'Code ONU'!$C$1:$E$231,3,FALSE)</f>
        <v>Moyen-Orient</v>
      </c>
      <c r="C60" s="1" t="s">
        <v>245</v>
      </c>
      <c r="D60" s="1">
        <v>2025</v>
      </c>
      <c r="E60" s="7">
        <v>5849.4205000000002</v>
      </c>
      <c r="F60" s="7">
        <v>2222.1779999999999</v>
      </c>
      <c r="G60" s="4">
        <v>0.37990000000000002</v>
      </c>
    </row>
    <row r="61" spans="1:7" x14ac:dyDescent="0.3">
      <c r="A61" s="1" t="s">
        <v>559</v>
      </c>
      <c r="B61" s="1" t="str">
        <f>VLOOKUP(C61,'Code ONU'!$C$1:$E$231,3,FALSE)</f>
        <v>Europe occidentale</v>
      </c>
      <c r="C61" s="1" t="s">
        <v>255</v>
      </c>
      <c r="D61" s="1">
        <v>2025</v>
      </c>
      <c r="E61" s="7">
        <v>2830.1444999999999</v>
      </c>
      <c r="F61" s="7">
        <v>61.125</v>
      </c>
      <c r="G61" s="4">
        <v>2.1600000000000001E-2</v>
      </c>
    </row>
    <row r="62" spans="1:7" x14ac:dyDescent="0.3">
      <c r="A62" s="1" t="s">
        <v>256</v>
      </c>
      <c r="B62" s="1" t="str">
        <f>VLOOKUP(C62,'Code ONU'!$C$1:$E$231,3,FALSE)</f>
        <v>Europe occidentale</v>
      </c>
      <c r="C62" s="1" t="s">
        <v>257</v>
      </c>
      <c r="D62" s="1">
        <v>2025</v>
      </c>
      <c r="E62" s="7">
        <v>680.45349999999996</v>
      </c>
      <c r="F62" s="7">
        <v>615.69600000000003</v>
      </c>
      <c r="G62" s="4">
        <v>0.90480000000000005</v>
      </c>
    </row>
    <row r="63" spans="1:7" x14ac:dyDescent="0.3">
      <c r="A63" s="1" t="s">
        <v>577</v>
      </c>
      <c r="B63" s="1" t="str">
        <f>VLOOKUP(C63,'Code ONU'!$C$1:$E$231,3,FALSE)</f>
        <v>Europe centrale et orientale</v>
      </c>
      <c r="C63" s="1" t="s">
        <v>319</v>
      </c>
      <c r="D63" s="1">
        <v>2025</v>
      </c>
      <c r="E63" s="7">
        <v>1813.7909999999999</v>
      </c>
      <c r="F63" s="7">
        <v>34.978000000000002</v>
      </c>
      <c r="G63" s="4">
        <v>1.9300000000000001E-2</v>
      </c>
    </row>
    <row r="64" spans="1:7" x14ac:dyDescent="0.3">
      <c r="A64" s="1" t="s">
        <v>258</v>
      </c>
      <c r="B64" s="1" t="str">
        <f>VLOOKUP(C64,'Code ONU'!$C$1:$E$231,3,FALSE)</f>
        <v>Afrique australe et Océan Indien</v>
      </c>
      <c r="C64" s="1" t="s">
        <v>259</v>
      </c>
      <c r="D64" s="1">
        <v>2025</v>
      </c>
      <c r="E64" s="7">
        <v>32740.678</v>
      </c>
      <c r="F64" s="7">
        <v>8704.8559999999998</v>
      </c>
      <c r="G64" s="4">
        <v>0.26590000000000003</v>
      </c>
    </row>
    <row r="65" spans="1:7" x14ac:dyDescent="0.3">
      <c r="A65" s="1" t="s">
        <v>266</v>
      </c>
      <c r="B65" s="1" t="str">
        <f>VLOOKUP(C65,'Code ONU'!$C$1:$E$231,3,FALSE)</f>
        <v>Afrique de l'Ouest</v>
      </c>
      <c r="C65" s="1" t="s">
        <v>267</v>
      </c>
      <c r="D65" s="1">
        <v>2025</v>
      </c>
      <c r="E65" s="7">
        <v>25198.821499999998</v>
      </c>
      <c r="F65" s="7">
        <v>5027.5410000000002</v>
      </c>
      <c r="G65" s="4">
        <v>0.19950000000000001</v>
      </c>
    </row>
    <row r="66" spans="1:7" x14ac:dyDescent="0.3">
      <c r="A66" s="1" t="s">
        <v>561</v>
      </c>
      <c r="B66" s="1" t="str">
        <f>VLOOKUP(C66,'Code ONU'!$C$1:$E$231,3,FALSE)</f>
        <v>Europe occidentale</v>
      </c>
      <c r="C66" s="1" t="s">
        <v>269</v>
      </c>
      <c r="D66" s="1">
        <v>2025</v>
      </c>
      <c r="E66" s="7">
        <v>545.40499999999997</v>
      </c>
      <c r="F66" s="7">
        <v>70.796999999999997</v>
      </c>
      <c r="G66" s="4">
        <v>0.1298</v>
      </c>
    </row>
    <row r="67" spans="1:7" x14ac:dyDescent="0.3">
      <c r="A67" s="1" t="s">
        <v>569</v>
      </c>
      <c r="B67" s="1" t="str">
        <f>VLOOKUP(C67,'Code ONU'!$C$1:$E$231,3,FALSE)</f>
        <v>Afrique du Nord</v>
      </c>
      <c r="C67" s="1" t="s">
        <v>293</v>
      </c>
      <c r="D67" s="1">
        <v>2025</v>
      </c>
      <c r="E67" s="7">
        <v>38430.769999999997</v>
      </c>
      <c r="F67" s="7">
        <v>13912.406000000001</v>
      </c>
      <c r="G67" s="4">
        <v>0.36199999999999999</v>
      </c>
    </row>
    <row r="68" spans="1:7" x14ac:dyDescent="0.3">
      <c r="A68" s="1" t="s">
        <v>272</v>
      </c>
      <c r="B68" s="1" t="str">
        <f>VLOOKUP(C68,'Code ONU'!$C$1:$E$231,3,FALSE)</f>
        <v>Caraïbes</v>
      </c>
      <c r="C68" s="1" t="s">
        <v>273</v>
      </c>
      <c r="D68" s="1">
        <v>2025</v>
      </c>
      <c r="E68" s="7">
        <v>340.43900000000002</v>
      </c>
      <c r="F68" s="7">
        <v>275.75599999999997</v>
      </c>
      <c r="G68" s="4">
        <v>0.81</v>
      </c>
    </row>
    <row r="69" spans="1:7" x14ac:dyDescent="0.3">
      <c r="A69" s="1" t="s">
        <v>564</v>
      </c>
      <c r="B69" s="1" t="str">
        <f>VLOOKUP(C69,'Code ONU'!$C$1:$E$231,3,FALSE)</f>
        <v>Afrique australe et Océan Indien</v>
      </c>
      <c r="C69" s="1" t="s">
        <v>277</v>
      </c>
      <c r="D69" s="1">
        <v>2025</v>
      </c>
      <c r="E69" s="7">
        <v>1268.2795000000001</v>
      </c>
      <c r="F69" s="7">
        <v>921.37400000000002</v>
      </c>
      <c r="G69" s="4">
        <v>0.72650000000000003</v>
      </c>
    </row>
    <row r="70" spans="1:7" x14ac:dyDescent="0.3">
      <c r="A70" s="1" t="s">
        <v>563</v>
      </c>
      <c r="B70" s="1" t="str">
        <f>VLOOKUP(C70,'Code ONU'!$C$1:$E$231,3,FALSE)</f>
        <v>Afrique du Nord</v>
      </c>
      <c r="C70" s="1" t="s">
        <v>275</v>
      </c>
      <c r="D70" s="1">
        <v>2025</v>
      </c>
      <c r="E70" s="7">
        <v>5315.0645000000004</v>
      </c>
      <c r="F70" s="7">
        <v>689.02</v>
      </c>
      <c r="G70" s="4">
        <v>0.12959999999999999</v>
      </c>
    </row>
    <row r="71" spans="1:7" x14ac:dyDescent="0.3">
      <c r="A71" s="1" t="s">
        <v>278</v>
      </c>
      <c r="B71" s="1" t="str">
        <f>VLOOKUP(C71,'Code ONU'!$C$1:$E$231,3,FALSE)</f>
        <v>Afrique australe et Océan Indien</v>
      </c>
      <c r="C71" s="1" t="s">
        <v>279</v>
      </c>
      <c r="D71" s="1">
        <v>2025</v>
      </c>
      <c r="E71" s="7">
        <v>337.01100000000002</v>
      </c>
      <c r="F71" s="7">
        <v>212.31700000000001</v>
      </c>
      <c r="G71" s="4">
        <v>0.63</v>
      </c>
    </row>
    <row r="72" spans="1:7" x14ac:dyDescent="0.3">
      <c r="A72" s="1" t="s">
        <v>565</v>
      </c>
      <c r="B72" s="1" t="str">
        <f>VLOOKUP(C72,'Code ONU'!$C$1:$E$231,3,FALSE)</f>
        <v>Amériques</v>
      </c>
      <c r="C72" s="1" t="s">
        <v>281</v>
      </c>
      <c r="D72" s="1">
        <v>2025</v>
      </c>
      <c r="E72" s="7">
        <v>131946.9</v>
      </c>
      <c r="F72" s="7">
        <v>30.273</v>
      </c>
      <c r="G72" s="4">
        <v>2.0000000000000001E-4</v>
      </c>
    </row>
    <row r="73" spans="1:7" x14ac:dyDescent="0.3">
      <c r="A73" s="1" t="s">
        <v>585</v>
      </c>
      <c r="B73" s="1" t="str">
        <f>VLOOKUP(C73,'Code ONU'!$C$1:$E$231,3,FALSE)</f>
        <v>Europe centrale et orientale</v>
      </c>
      <c r="C73" s="1" t="s">
        <v>350</v>
      </c>
      <c r="D73" s="1">
        <v>2025</v>
      </c>
      <c r="E73" s="7">
        <v>2996.1055000000001</v>
      </c>
      <c r="F73" s="7">
        <v>40.747</v>
      </c>
      <c r="G73" s="4">
        <v>1.3599999999999999E-2</v>
      </c>
    </row>
    <row r="74" spans="1:7" x14ac:dyDescent="0.3">
      <c r="A74" s="1" t="s">
        <v>284</v>
      </c>
      <c r="B74" s="1" t="str">
        <f>VLOOKUP(C74,'Code ONU'!$C$1:$E$231,3,FALSE)</f>
        <v>Europe occidentale</v>
      </c>
      <c r="C74" s="1" t="s">
        <v>285</v>
      </c>
      <c r="D74" s="1">
        <v>2025</v>
      </c>
      <c r="E74" s="7">
        <v>38.341000000000001</v>
      </c>
      <c r="F74" s="7">
        <v>37.155000000000001</v>
      </c>
      <c r="G74" s="4">
        <v>0.96909999999999996</v>
      </c>
    </row>
    <row r="75" spans="1:7" x14ac:dyDescent="0.3">
      <c r="A75" s="1" t="s">
        <v>568</v>
      </c>
      <c r="B75" s="1" t="str">
        <f>VLOOKUP(C75,'Code ONU'!$C$1:$E$231,3,FALSE)</f>
        <v>Europe centrale et orientale</v>
      </c>
      <c r="C75" s="1" t="s">
        <v>289</v>
      </c>
      <c r="D75" s="1">
        <v>2025</v>
      </c>
      <c r="E75" s="7">
        <v>632.72900000000004</v>
      </c>
      <c r="F75" s="7">
        <v>12.994999999999999</v>
      </c>
      <c r="G75" s="4">
        <v>2.0500000000000001E-2</v>
      </c>
    </row>
    <row r="76" spans="1:7" x14ac:dyDescent="0.3">
      <c r="A76" s="1" t="s">
        <v>294</v>
      </c>
      <c r="B76" s="1" t="str">
        <f>VLOOKUP(C76,'Code ONU'!$C$1:$E$231,3,FALSE)</f>
        <v>Afrique de l'Est</v>
      </c>
      <c r="C76" s="1" t="s">
        <v>295</v>
      </c>
      <c r="D76" s="1">
        <v>2025</v>
      </c>
      <c r="E76" s="7">
        <v>35631.652999999998</v>
      </c>
      <c r="F76" s="7">
        <v>106.414</v>
      </c>
      <c r="G76" s="4">
        <v>3.0000000000000001E-3</v>
      </c>
    </row>
    <row r="77" spans="1:7" x14ac:dyDescent="0.3">
      <c r="A77" s="1" t="s">
        <v>312</v>
      </c>
      <c r="B77" s="1" t="str">
        <f>VLOOKUP(C77,'Code ONU'!$C$1:$E$231,3,FALSE)</f>
        <v>Afrique de l'Ouest</v>
      </c>
      <c r="C77" s="1" t="s">
        <v>313</v>
      </c>
      <c r="D77" s="1">
        <v>2025</v>
      </c>
      <c r="E77" s="7">
        <v>27917.830999999998</v>
      </c>
      <c r="F77" s="7">
        <v>3754.02</v>
      </c>
      <c r="G77" s="4">
        <v>0.13450000000000001</v>
      </c>
    </row>
    <row r="78" spans="1:7" x14ac:dyDescent="0.3">
      <c r="A78" s="1" t="s">
        <v>579</v>
      </c>
      <c r="B78" s="1" t="str">
        <f>VLOOKUP(C78,'Code ONU'!$C$1:$E$231,3,FALSE)</f>
        <v>Europe occidentale</v>
      </c>
      <c r="C78" s="1" t="s">
        <v>323</v>
      </c>
      <c r="D78" s="1">
        <v>2025</v>
      </c>
      <c r="E78" s="7">
        <v>5623.0709999999999</v>
      </c>
      <c r="F78" s="7">
        <v>403.64100000000002</v>
      </c>
      <c r="G78" s="4">
        <v>7.1800000000000003E-2</v>
      </c>
    </row>
    <row r="79" spans="1:7" x14ac:dyDescent="0.3">
      <c r="A79" s="1" t="s">
        <v>573</v>
      </c>
      <c r="B79" s="1" t="str">
        <f>VLOOKUP(C79,'Code ONU'!$C$1:$E$231,3,FALSE)</f>
        <v>Océanie</v>
      </c>
      <c r="C79" s="1" t="s">
        <v>307</v>
      </c>
      <c r="D79" s="1">
        <v>2025</v>
      </c>
      <c r="E79" s="7">
        <v>295.33300000000003</v>
      </c>
      <c r="F79" s="7">
        <v>292.084</v>
      </c>
      <c r="G79" s="4">
        <v>0.98899999999999999</v>
      </c>
    </row>
    <row r="80" spans="1:7" x14ac:dyDescent="0.3">
      <c r="A80" s="1" t="s">
        <v>334</v>
      </c>
      <c r="B80" s="1" t="str">
        <f>VLOOKUP(C80,'Code ONU'!$C$1:$E$231,3,FALSE)</f>
        <v>Amériques</v>
      </c>
      <c r="C80" s="1" t="s">
        <v>335</v>
      </c>
      <c r="D80" s="1">
        <v>2025</v>
      </c>
      <c r="E80" s="7">
        <v>7013.0775000000003</v>
      </c>
      <c r="F80" s="7">
        <v>14.026</v>
      </c>
      <c r="G80" s="4">
        <v>2E-3</v>
      </c>
    </row>
    <row r="81" spans="1:7" x14ac:dyDescent="0.3">
      <c r="A81" s="1" t="s">
        <v>572</v>
      </c>
      <c r="B81" s="1" t="str">
        <f>VLOOKUP(C81,'Code ONU'!$C$1:$E$231,3,FALSE)</f>
        <v>Europe occidentale</v>
      </c>
      <c r="C81" s="1" t="s">
        <v>305</v>
      </c>
      <c r="D81" s="1">
        <v>2025</v>
      </c>
      <c r="E81" s="7">
        <v>18346.819</v>
      </c>
      <c r="F81" s="7">
        <v>5074.6930000000002</v>
      </c>
      <c r="G81" s="4">
        <v>0.27660000000000001</v>
      </c>
    </row>
    <row r="82" spans="1:7" x14ac:dyDescent="0.3">
      <c r="A82" s="1" t="s">
        <v>583</v>
      </c>
      <c r="B82" s="1" t="str">
        <f>VLOOKUP(C82,'Code ONU'!$C$1:$E$231,3,FALSE)</f>
        <v>Europe centrale et orientale</v>
      </c>
      <c r="C82" s="1" t="s">
        <v>341</v>
      </c>
      <c r="D82" s="1">
        <v>2025</v>
      </c>
      <c r="E82" s="7">
        <v>38140.909500000002</v>
      </c>
      <c r="F82" s="7">
        <v>950.75900000000001</v>
      </c>
      <c r="G82" s="4">
        <v>2.4899999999999999E-2</v>
      </c>
    </row>
    <row r="83" spans="1:7" x14ac:dyDescent="0.3">
      <c r="A83" s="1" t="s">
        <v>530</v>
      </c>
      <c r="B83" s="1" t="str">
        <f>VLOOKUP(C83,'Code ONU'!$C$1:$E$231,3,FALSE)</f>
        <v>Océanie</v>
      </c>
      <c r="C83" s="1" t="s">
        <v>167</v>
      </c>
      <c r="D83" s="1">
        <v>2025</v>
      </c>
      <c r="E83" s="7">
        <v>282.46499999999997</v>
      </c>
      <c r="F83" s="7">
        <v>276.12200000000001</v>
      </c>
      <c r="G83" s="4">
        <v>0.97750000000000004</v>
      </c>
    </row>
    <row r="84" spans="1:7" x14ac:dyDescent="0.3">
      <c r="A84" s="1" t="s">
        <v>584</v>
      </c>
      <c r="B84" s="1" t="str">
        <f>VLOOKUP(C84,'Code ONU'!$C$1:$E$231,3,FALSE)</f>
        <v>Caraïbes</v>
      </c>
      <c r="C84" s="1" t="s">
        <v>345</v>
      </c>
      <c r="D84" s="1">
        <v>2025</v>
      </c>
      <c r="E84" s="7">
        <v>3235.2894999999999</v>
      </c>
      <c r="F84" s="7">
        <v>2.61</v>
      </c>
      <c r="G84" s="4">
        <v>8.0000000000000004E-4</v>
      </c>
    </row>
    <row r="85" spans="1:7" x14ac:dyDescent="0.3">
      <c r="A85" s="1" t="s">
        <v>342</v>
      </c>
      <c r="B85" s="1" t="str">
        <f>VLOOKUP(C85,'Code ONU'!$C$1:$E$231,3,FALSE)</f>
        <v>Europe occidentale</v>
      </c>
      <c r="C85" s="1" t="s">
        <v>343</v>
      </c>
      <c r="D85" s="1">
        <v>2025</v>
      </c>
      <c r="E85" s="7">
        <v>10411.833500000001</v>
      </c>
      <c r="F85" s="7">
        <v>2539.998</v>
      </c>
      <c r="G85" s="4">
        <v>0.24399999999999999</v>
      </c>
    </row>
    <row r="86" spans="1:7" x14ac:dyDescent="0.3">
      <c r="A86" s="1" t="s">
        <v>346</v>
      </c>
      <c r="B86" s="1" t="str">
        <f>VLOOKUP(C86,'Code ONU'!$C$1:$E$231,3,FALSE)</f>
        <v>Moyen-Orient</v>
      </c>
      <c r="C86" s="1" t="s">
        <v>347</v>
      </c>
      <c r="D86" s="1">
        <v>2025</v>
      </c>
      <c r="E86" s="7">
        <v>3115.8885</v>
      </c>
      <c r="F86" s="7">
        <v>132.535</v>
      </c>
      <c r="G86" s="4">
        <v>4.2500000000000003E-2</v>
      </c>
    </row>
    <row r="87" spans="1:7" x14ac:dyDescent="0.3">
      <c r="A87" s="1" t="s">
        <v>518</v>
      </c>
      <c r="B87" s="1" t="str">
        <f>VLOOKUP(C87,'Code ONU'!$C$1:$E$231,3,FALSE)</f>
        <v>Caraïbes</v>
      </c>
      <c r="C87" s="1" t="s">
        <v>137</v>
      </c>
      <c r="D87" s="1">
        <v>2025</v>
      </c>
      <c r="E87" s="7">
        <v>11520.486999999999</v>
      </c>
      <c r="F87" s="7">
        <v>165.47499999999999</v>
      </c>
      <c r="G87" s="4">
        <v>1.44E-2</v>
      </c>
    </row>
    <row r="88" spans="1:7" x14ac:dyDescent="0.3">
      <c r="A88" s="1" t="s">
        <v>641</v>
      </c>
      <c r="B88" s="1" t="str">
        <f>VLOOKUP(C88,'Code ONU'!$C$1:$E$231,3,FALSE)</f>
        <v>Europe centrale et orientale</v>
      </c>
      <c r="C88" s="1" t="s">
        <v>125</v>
      </c>
      <c r="D88" s="1">
        <v>2025</v>
      </c>
      <c r="E88" s="7">
        <v>10609.2395</v>
      </c>
      <c r="F88" s="7">
        <v>249.79900000000001</v>
      </c>
      <c r="G88" s="4">
        <v>2.35E-2</v>
      </c>
    </row>
    <row r="89" spans="1:7" x14ac:dyDescent="0.3">
      <c r="A89" s="1" t="s">
        <v>351</v>
      </c>
      <c r="B89" s="1" t="str">
        <f>VLOOKUP(C89,'Code ONU'!$C$1:$E$231,3,FALSE)</f>
        <v>Afrique australe et Océan Indien</v>
      </c>
      <c r="C89" s="1" t="s">
        <v>352</v>
      </c>
      <c r="D89" s="1">
        <v>2025</v>
      </c>
      <c r="E89" s="7">
        <v>882.40549999999996</v>
      </c>
      <c r="F89" s="7">
        <v>776.51700000000005</v>
      </c>
      <c r="G89" s="4">
        <v>0.88</v>
      </c>
    </row>
    <row r="90" spans="1:7" x14ac:dyDescent="0.3">
      <c r="A90" s="1" t="s">
        <v>586</v>
      </c>
      <c r="B90" s="1" t="str">
        <f>VLOOKUP(C90,'Code ONU'!$C$1:$E$231,3,FALSE)</f>
        <v>Europe centrale et orientale</v>
      </c>
      <c r="C90" s="1" t="s">
        <v>354</v>
      </c>
      <c r="D90" s="1">
        <v>2025</v>
      </c>
      <c r="E90" s="7">
        <v>18908.6505</v>
      </c>
      <c r="F90" s="7">
        <v>1945.6849999999999</v>
      </c>
      <c r="G90" s="4">
        <v>0.10290000000000001</v>
      </c>
    </row>
    <row r="91" spans="1:7" x14ac:dyDescent="0.3">
      <c r="A91" s="1" t="s">
        <v>623</v>
      </c>
      <c r="B91" s="1" t="str">
        <f>VLOOKUP(C91,'Code ONU'!$C$1:$E$231,3,FALSE)</f>
        <v>Europe occidentale</v>
      </c>
      <c r="C91" s="1" t="s">
        <v>450</v>
      </c>
      <c r="D91" s="1">
        <v>2025</v>
      </c>
      <c r="E91" s="7">
        <v>69551.3315</v>
      </c>
      <c r="F91" s="7">
        <v>11509.009</v>
      </c>
      <c r="G91" s="4">
        <v>0.16550000000000001</v>
      </c>
    </row>
    <row r="92" spans="1:7" x14ac:dyDescent="0.3">
      <c r="A92" s="1" t="s">
        <v>357</v>
      </c>
      <c r="B92" s="1" t="str">
        <f>VLOOKUP(C92,'Code ONU'!$C$1:$E$231,3,FALSE)</f>
        <v>Afrique de l'Est</v>
      </c>
      <c r="C92" s="1" t="s">
        <v>358</v>
      </c>
      <c r="D92" s="1">
        <v>2025</v>
      </c>
      <c r="E92" s="7">
        <v>14569.3405</v>
      </c>
      <c r="F92" s="7">
        <v>748.34100000000001</v>
      </c>
      <c r="G92" s="4">
        <v>5.1400000000000001E-2</v>
      </c>
    </row>
    <row r="93" spans="1:7" x14ac:dyDescent="0.3">
      <c r="A93" s="1" t="s">
        <v>588</v>
      </c>
      <c r="B93" s="1" t="str">
        <f>VLOOKUP(C93,'Code ONU'!$C$1:$E$231,3,FALSE)</f>
        <v>Caraïbes</v>
      </c>
      <c r="C93" s="1" t="s">
        <v>360</v>
      </c>
      <c r="D93" s="1">
        <v>2025</v>
      </c>
      <c r="E93" s="7">
        <v>11.413500000000001</v>
      </c>
      <c r="F93" s="7">
        <v>9.5869999999999997</v>
      </c>
      <c r="G93" s="4">
        <v>0.84</v>
      </c>
    </row>
    <row r="94" spans="1:7" x14ac:dyDescent="0.3">
      <c r="A94" s="1" t="s">
        <v>591</v>
      </c>
      <c r="B94" s="1" t="str">
        <f>VLOOKUP(C94,'Code ONU'!$C$1:$E$231,3,FALSE)</f>
        <v>Caraïbes</v>
      </c>
      <c r="C94" s="1" t="s">
        <v>366</v>
      </c>
      <c r="D94" s="1">
        <v>2025</v>
      </c>
      <c r="E94" s="7">
        <v>180.149</v>
      </c>
      <c r="F94" s="7">
        <v>2.9209999999999998</v>
      </c>
      <c r="G94" s="4">
        <v>1.6199999999999999E-2</v>
      </c>
    </row>
    <row r="95" spans="1:7" x14ac:dyDescent="0.3">
      <c r="A95" s="1" t="s">
        <v>592</v>
      </c>
      <c r="B95" s="1" t="str">
        <f>VLOOKUP(C95,'Code ONU'!$C$1:$E$231,3,FALSE)</f>
        <v>Caraïbes</v>
      </c>
      <c r="C95" s="1" t="s">
        <v>368</v>
      </c>
      <c r="D95" s="1">
        <v>2025</v>
      </c>
      <c r="E95" s="7">
        <v>24.9405</v>
      </c>
      <c r="F95" s="7">
        <v>20.95</v>
      </c>
      <c r="G95" s="4">
        <v>0.84</v>
      </c>
    </row>
    <row r="96" spans="1:7" x14ac:dyDescent="0.3">
      <c r="A96" s="1" t="s">
        <v>593</v>
      </c>
      <c r="B96" s="1" t="str">
        <f>VLOOKUP(C96,'Code ONU'!$C$1:$E$231,3,FALSE)</f>
        <v>Amériques</v>
      </c>
      <c r="C96" s="1" t="s">
        <v>370</v>
      </c>
      <c r="D96" s="1">
        <v>2025</v>
      </c>
      <c r="E96" s="7">
        <v>5.5735000000000001</v>
      </c>
      <c r="F96" s="7">
        <v>5.5739999999999998</v>
      </c>
      <c r="G96" s="4">
        <v>1</v>
      </c>
    </row>
    <row r="97" spans="1:7" x14ac:dyDescent="0.3">
      <c r="A97" s="1" t="s">
        <v>595</v>
      </c>
      <c r="B97" s="1" t="str">
        <f>VLOOKUP(C97,'Code ONU'!$C$1:$E$231,3,FALSE)</f>
        <v>Afrique centrale</v>
      </c>
      <c r="C97" s="1" t="s">
        <v>376</v>
      </c>
      <c r="D97" s="1">
        <v>2025</v>
      </c>
      <c r="E97" s="7">
        <v>240.25399999999999</v>
      </c>
      <c r="F97" s="7">
        <v>48.524000000000001</v>
      </c>
      <c r="G97" s="4">
        <v>0.20200000000000001</v>
      </c>
    </row>
    <row r="98" spans="1:7" x14ac:dyDescent="0.3">
      <c r="A98" s="1" t="s">
        <v>597</v>
      </c>
      <c r="B98" s="1" t="str">
        <f>VLOOKUP(C98,'Code ONU'!$C$1:$E$231,3,FALSE)</f>
        <v>Afrique de l'Ouest</v>
      </c>
      <c r="C98" s="1" t="s">
        <v>380</v>
      </c>
      <c r="D98" s="1">
        <v>2025</v>
      </c>
      <c r="E98" s="7">
        <v>18931.966499999999</v>
      </c>
      <c r="F98" s="7">
        <v>5249.55</v>
      </c>
      <c r="G98" s="4">
        <v>0.27729999999999999</v>
      </c>
    </row>
    <row r="99" spans="1:7" x14ac:dyDescent="0.3">
      <c r="A99" s="1" t="s">
        <v>598</v>
      </c>
      <c r="B99" s="1" t="str">
        <f>VLOOKUP(C99,'Code ONU'!$C$1:$E$231,3,FALSE)</f>
        <v>Europe centrale et orientale</v>
      </c>
      <c r="C99" s="1" t="s">
        <v>382</v>
      </c>
      <c r="D99" s="1">
        <v>2025</v>
      </c>
      <c r="E99" s="7">
        <v>6689.0389999999998</v>
      </c>
      <c r="F99" s="7">
        <v>554.298</v>
      </c>
      <c r="G99" s="4">
        <v>8.2900000000000001E-2</v>
      </c>
    </row>
    <row r="100" spans="1:7" x14ac:dyDescent="0.3">
      <c r="A100" s="1" t="s">
        <v>383</v>
      </c>
      <c r="B100" s="1" t="str">
        <f>VLOOKUP(C100,'Code ONU'!$C$1:$E$231,3,FALSE)</f>
        <v>Afrique australe et Océan Indien</v>
      </c>
      <c r="C100" s="1" t="s">
        <v>384</v>
      </c>
      <c r="D100" s="1">
        <v>2025</v>
      </c>
      <c r="E100" s="7">
        <v>132.77850000000001</v>
      </c>
      <c r="F100" s="7">
        <v>70.373000000000005</v>
      </c>
      <c r="G100" s="4">
        <v>0.53</v>
      </c>
    </row>
    <row r="101" spans="1:7" x14ac:dyDescent="0.3">
      <c r="A101" s="1" t="s">
        <v>601</v>
      </c>
      <c r="B101" s="1" t="str">
        <f>VLOOKUP(C101,'Code ONU'!$C$1:$E$231,3,FALSE)</f>
        <v>Europe centrale et orientale</v>
      </c>
      <c r="C101" s="1" t="s">
        <v>392</v>
      </c>
      <c r="D101" s="1">
        <v>2025</v>
      </c>
      <c r="E101" s="7">
        <v>5474.8810000000003</v>
      </c>
      <c r="F101" s="7">
        <v>97.573999999999998</v>
      </c>
      <c r="G101" s="4">
        <v>1.78E-2</v>
      </c>
    </row>
    <row r="102" spans="1:7" x14ac:dyDescent="0.3">
      <c r="A102" s="1" t="s">
        <v>602</v>
      </c>
      <c r="B102" s="1" t="str">
        <f>VLOOKUP(C102,'Code ONU'!$C$1:$E$231,3,FALSE)</f>
        <v>Europe centrale et orientale</v>
      </c>
      <c r="C102" s="1" t="s">
        <v>394</v>
      </c>
      <c r="D102" s="1">
        <v>2025</v>
      </c>
      <c r="E102" s="7">
        <v>2117.0720000000001</v>
      </c>
      <c r="F102" s="7">
        <v>86.44</v>
      </c>
      <c r="G102" s="4">
        <v>4.0800000000000003E-2</v>
      </c>
    </row>
    <row r="103" spans="1:7" x14ac:dyDescent="0.3">
      <c r="A103" s="1" t="s">
        <v>610</v>
      </c>
      <c r="B103" s="1" t="str">
        <f>VLOOKUP(C103,'Code ONU'!$C$1:$E$231,3,FALSE)</f>
        <v>Europe occidentale</v>
      </c>
      <c r="C103" s="1" t="s">
        <v>414</v>
      </c>
      <c r="D103" s="1">
        <v>2025</v>
      </c>
      <c r="E103" s="7">
        <v>10656.633</v>
      </c>
      <c r="F103" s="7">
        <v>752.88699999999994</v>
      </c>
      <c r="G103" s="4">
        <v>7.0599999999999996E-2</v>
      </c>
    </row>
    <row r="104" spans="1:7" x14ac:dyDescent="0.3">
      <c r="A104" s="1" t="s">
        <v>611</v>
      </c>
      <c r="B104" s="1" t="str">
        <f>VLOOKUP(C104,'Code ONU'!$C$1:$E$231,3,FALSE)</f>
        <v>Europe occidentale</v>
      </c>
      <c r="C104" s="1" t="s">
        <v>416</v>
      </c>
      <c r="D104" s="1">
        <v>2025</v>
      </c>
      <c r="E104" s="7">
        <v>8967.4074999999993</v>
      </c>
      <c r="F104" s="7">
        <v>6037.1279999999997</v>
      </c>
      <c r="G104" s="4">
        <v>0.67320000000000002</v>
      </c>
    </row>
    <row r="105" spans="1:7" x14ac:dyDescent="0.3">
      <c r="A105" s="1" t="s">
        <v>411</v>
      </c>
      <c r="B105" s="1" t="str">
        <f>VLOOKUP(C105,'Code ONU'!$C$1:$E$231,3,FALSE)</f>
        <v>Amériques</v>
      </c>
      <c r="C105" s="1" t="s">
        <v>412</v>
      </c>
      <c r="D105" s="1">
        <v>2025</v>
      </c>
      <c r="E105" s="7">
        <v>639.85</v>
      </c>
      <c r="F105" s="7">
        <v>1.0740000000000001</v>
      </c>
      <c r="G105" s="4">
        <v>1.6999999999999999E-3</v>
      </c>
    </row>
    <row r="106" spans="1:7" x14ac:dyDescent="0.3">
      <c r="A106" s="1" t="s">
        <v>502</v>
      </c>
      <c r="B106" s="1" t="str">
        <f>VLOOKUP(C106,'Code ONU'!$C$1:$E$231,3,FALSE)</f>
        <v>Afrique centrale</v>
      </c>
      <c r="C106" s="1" t="s">
        <v>95</v>
      </c>
      <c r="D106" s="1">
        <v>2025</v>
      </c>
      <c r="E106" s="7">
        <v>21003.705000000002</v>
      </c>
      <c r="F106" s="7">
        <v>2692.8690000000001</v>
      </c>
      <c r="G106" s="4">
        <v>0.12820000000000001</v>
      </c>
    </row>
    <row r="107" spans="1:7" x14ac:dyDescent="0.3">
      <c r="A107" s="1" t="s">
        <v>614</v>
      </c>
      <c r="B107" s="1" t="str">
        <f>VLOOKUP(C107,'Code ONU'!$C$1:$E$231,3,FALSE)</f>
        <v>Asie</v>
      </c>
      <c r="C107" s="1" t="s">
        <v>422</v>
      </c>
      <c r="D107" s="1">
        <v>2025</v>
      </c>
      <c r="E107" s="7">
        <v>71619.862999999998</v>
      </c>
      <c r="F107" s="7">
        <v>590.80200000000002</v>
      </c>
      <c r="G107" s="4">
        <v>8.2000000000000007E-3</v>
      </c>
    </row>
    <row r="108" spans="1:7" x14ac:dyDescent="0.3">
      <c r="A108" s="1" t="s">
        <v>425</v>
      </c>
      <c r="B108" s="1" t="str">
        <f>VLOOKUP(C108,'Code ONU'!$C$1:$E$231,3,FALSE)</f>
        <v>Afrique de l'Ouest</v>
      </c>
      <c r="C108" s="1" t="s">
        <v>426</v>
      </c>
      <c r="D108" s="1">
        <v>2025</v>
      </c>
      <c r="E108" s="7">
        <v>9721.6075000000001</v>
      </c>
      <c r="F108" s="7">
        <v>3997.9679999999998</v>
      </c>
      <c r="G108" s="4">
        <v>0.41120000000000001</v>
      </c>
    </row>
    <row r="109" spans="1:7" x14ac:dyDescent="0.3">
      <c r="A109" s="1" t="s">
        <v>617</v>
      </c>
      <c r="B109" s="1" t="str">
        <f>VLOOKUP(C109,'Code ONU'!$C$1:$E$231,3,FALSE)</f>
        <v>Afrique du Nord</v>
      </c>
      <c r="C109" s="1" t="s">
        <v>434</v>
      </c>
      <c r="D109" s="1">
        <v>2025</v>
      </c>
      <c r="E109" s="7">
        <v>12348.573</v>
      </c>
      <c r="F109" s="7">
        <v>6557.8940000000002</v>
      </c>
      <c r="G109" s="4">
        <v>0.53110000000000002</v>
      </c>
    </row>
    <row r="110" spans="1:7" x14ac:dyDescent="0.3">
      <c r="A110" s="1" t="s">
        <v>618</v>
      </c>
      <c r="B110" s="1" t="str">
        <f>VLOOKUP(C110,'Code ONU'!$C$1:$E$231,3,FALSE)</f>
        <v>Moyen-Orient</v>
      </c>
      <c r="C110" s="1" t="s">
        <v>436</v>
      </c>
      <c r="D110" s="1">
        <v>2025</v>
      </c>
      <c r="E110" s="7">
        <v>87685.426000000007</v>
      </c>
      <c r="F110" s="7">
        <v>576.88499999999999</v>
      </c>
      <c r="G110" s="4">
        <v>6.6E-3</v>
      </c>
    </row>
    <row r="111" spans="1:7" x14ac:dyDescent="0.3">
      <c r="A111" s="1" t="s">
        <v>445</v>
      </c>
      <c r="B111" s="1" t="str">
        <f>VLOOKUP(C111,'Code ONU'!$C$1:$E$231,3,FALSE)</f>
        <v>Europe centrale et orientale</v>
      </c>
      <c r="C111" s="1" t="s">
        <v>446</v>
      </c>
      <c r="D111" s="1">
        <v>2025</v>
      </c>
      <c r="E111" s="7">
        <v>38980.376499999998</v>
      </c>
      <c r="F111" s="7">
        <v>47.670999999999999</v>
      </c>
      <c r="G111" s="4">
        <v>1.1999999999999999E-3</v>
      </c>
    </row>
    <row r="112" spans="1:7" x14ac:dyDescent="0.3">
      <c r="A112" s="1" t="s">
        <v>457</v>
      </c>
      <c r="B112" s="1" t="str">
        <f>VLOOKUP(C112,'Code ONU'!$C$1:$E$231,3,FALSE)</f>
        <v>Amériques</v>
      </c>
      <c r="C112" s="1" t="s">
        <v>458</v>
      </c>
      <c r="D112" s="1">
        <v>2025</v>
      </c>
      <c r="E112" s="7">
        <v>3384.6880000000001</v>
      </c>
      <c r="F112" s="7">
        <v>4.9340000000000002</v>
      </c>
      <c r="G112" s="4">
        <v>1.5E-3</v>
      </c>
    </row>
    <row r="113" spans="1:7" x14ac:dyDescent="0.3">
      <c r="A113" s="1" t="s">
        <v>461</v>
      </c>
      <c r="B113" s="1" t="str">
        <f>VLOOKUP(C113,'Code ONU'!$C$1:$E$231,3,FALSE)</f>
        <v>Océanie</v>
      </c>
      <c r="C113" s="1" t="s">
        <v>462</v>
      </c>
      <c r="D113" s="1">
        <v>2025</v>
      </c>
      <c r="E113" s="7">
        <v>335.16899999999998</v>
      </c>
      <c r="F113" s="7">
        <v>80.427000000000007</v>
      </c>
      <c r="G113" s="4">
        <v>0.24</v>
      </c>
    </row>
    <row r="114" spans="1:7" x14ac:dyDescent="0.3">
      <c r="A114" s="1" t="s">
        <v>465</v>
      </c>
      <c r="B114" s="1" t="str">
        <f>VLOOKUP(C114,'Code ONU'!$C$1:$E$231,3,FALSE)</f>
        <v>Asie</v>
      </c>
      <c r="C114" s="1" t="s">
        <v>466</v>
      </c>
      <c r="D114" s="1">
        <v>2025</v>
      </c>
      <c r="E114" s="7">
        <v>101598.527</v>
      </c>
      <c r="F114" s="7">
        <v>711.50599999999997</v>
      </c>
      <c r="G114" s="4">
        <v>7.0000000000000001E-3</v>
      </c>
    </row>
    <row r="115" spans="1:7" x14ac:dyDescent="0.3">
      <c r="A115" s="1" t="s">
        <v>475</v>
      </c>
      <c r="B115" s="1" t="str">
        <f>VLOOKUP(C115,'Code ONU'!$C$1:$E$231,3,FALSE)</f>
        <v>Europe centrale et orientale</v>
      </c>
      <c r="C115" s="1" t="s">
        <v>8</v>
      </c>
      <c r="D115" s="1">
        <v>2024</v>
      </c>
      <c r="E115" s="7">
        <v>2792</v>
      </c>
      <c r="F115" s="7">
        <v>29</v>
      </c>
      <c r="G115" s="4">
        <v>1.0386819484240688E-2</v>
      </c>
    </row>
    <row r="116" spans="1:7" x14ac:dyDescent="0.3">
      <c r="A116" s="1" t="s">
        <v>476</v>
      </c>
      <c r="B116" s="1" t="str">
        <f>VLOOKUP(C116,'Code ONU'!$C$1:$E$231,3,FALSE)</f>
        <v>Afrique du Nord</v>
      </c>
      <c r="C116" s="1" t="s">
        <v>11</v>
      </c>
      <c r="D116" s="1">
        <v>2024</v>
      </c>
      <c r="E116" s="7">
        <v>46814</v>
      </c>
      <c r="F116" s="7">
        <v>15385</v>
      </c>
      <c r="G116" s="4">
        <v>0.32864100482761566</v>
      </c>
    </row>
    <row r="117" spans="1:7" x14ac:dyDescent="0.3">
      <c r="A117" s="1" t="s">
        <v>533</v>
      </c>
      <c r="B117" s="1" t="str">
        <f>VLOOKUP(C117,'Code ONU'!$C$1:$E$231,3,FALSE)</f>
        <v>Europe occidentale</v>
      </c>
      <c r="C117" s="1" t="s">
        <v>175</v>
      </c>
      <c r="D117" s="1">
        <v>2024</v>
      </c>
      <c r="E117" s="7">
        <v>84552</v>
      </c>
      <c r="F117" s="7">
        <v>14610</v>
      </c>
      <c r="G117" s="4">
        <v>0.172793074084587</v>
      </c>
    </row>
    <row r="118" spans="1:7" x14ac:dyDescent="0.3">
      <c r="A118" s="1" t="s">
        <v>478</v>
      </c>
      <c r="B118" s="1" t="str">
        <f>VLOOKUP(C118,'Code ONU'!$C$1:$E$231,3,FALSE)</f>
        <v>Europe occidentale</v>
      </c>
      <c r="C118" s="1" t="s">
        <v>17</v>
      </c>
      <c r="D118" s="1">
        <v>2024</v>
      </c>
      <c r="E118" s="7">
        <v>82</v>
      </c>
      <c r="F118" s="7">
        <v>57</v>
      </c>
      <c r="G118" s="4">
        <v>0.69512195121951215</v>
      </c>
    </row>
    <row r="119" spans="1:7" x14ac:dyDescent="0.3">
      <c r="A119" s="1" t="s">
        <v>481</v>
      </c>
      <c r="B119" s="1" t="str">
        <f>VLOOKUP(C119,'Code ONU'!$C$1:$E$231,3,FALSE)</f>
        <v>Moyen-Orient</v>
      </c>
      <c r="C119" s="1" t="s">
        <v>31</v>
      </c>
      <c r="D119" s="1">
        <v>2024</v>
      </c>
      <c r="E119" s="7">
        <v>2974</v>
      </c>
      <c r="F119" s="7">
        <v>5</v>
      </c>
      <c r="G119" s="4">
        <v>1.6812373907195697E-3</v>
      </c>
    </row>
    <row r="120" spans="1:7" x14ac:dyDescent="0.3">
      <c r="A120" s="1" t="s">
        <v>483</v>
      </c>
      <c r="B120" s="1" t="str">
        <f>VLOOKUP(C120,'Code ONU'!$C$1:$E$231,3,FALSE)</f>
        <v>Europe occidentale</v>
      </c>
      <c r="C120" s="1" t="s">
        <v>38</v>
      </c>
      <c r="D120" s="1">
        <v>2024</v>
      </c>
      <c r="E120" s="7">
        <v>9121</v>
      </c>
      <c r="F120" s="7">
        <v>917</v>
      </c>
      <c r="G120" s="4">
        <v>0.10053722179585571</v>
      </c>
    </row>
    <row r="121" spans="1:7" x14ac:dyDescent="0.3">
      <c r="A121" s="1" t="s">
        <v>488</v>
      </c>
      <c r="B121" s="1" t="str">
        <f>VLOOKUP(C121,'Code ONU'!$C$1:$E$231,3,FALSE)</f>
        <v>Europe occidentale</v>
      </c>
      <c r="C121" s="1" t="s">
        <v>52</v>
      </c>
      <c r="D121" s="1">
        <v>2024</v>
      </c>
      <c r="E121" s="7">
        <v>11739</v>
      </c>
      <c r="F121" s="7">
        <v>9047</v>
      </c>
      <c r="G121" s="4">
        <v>0.77067893346963112</v>
      </c>
    </row>
    <row r="122" spans="1:7" x14ac:dyDescent="0.3">
      <c r="A122" s="1" t="s">
        <v>489</v>
      </c>
      <c r="B122" s="1" t="str">
        <f>VLOOKUP(C122,'Code ONU'!$C$1:$E$231,3,FALSE)</f>
        <v>Afrique de l'Ouest</v>
      </c>
      <c r="C122" s="1" t="s">
        <v>56</v>
      </c>
      <c r="D122" s="1">
        <v>2024</v>
      </c>
      <c r="E122" s="7">
        <v>14463</v>
      </c>
      <c r="F122" s="7">
        <v>4873</v>
      </c>
      <c r="G122" s="4">
        <v>0.33692871465117885</v>
      </c>
    </row>
    <row r="123" spans="1:7" x14ac:dyDescent="0.3">
      <c r="A123" s="1" t="s">
        <v>493</v>
      </c>
      <c r="B123" s="1" t="str">
        <f>VLOOKUP(C123,'Code ONU'!$C$1:$E$231,3,FALSE)</f>
        <v>Europe centrale et orientale</v>
      </c>
      <c r="C123" s="1" t="s">
        <v>65</v>
      </c>
      <c r="D123" s="1">
        <v>2024</v>
      </c>
      <c r="E123" s="7">
        <v>3164</v>
      </c>
      <c r="F123" s="7">
        <v>24</v>
      </c>
      <c r="G123" s="4">
        <v>7.5853350189633373E-3</v>
      </c>
    </row>
    <row r="124" spans="1:7" x14ac:dyDescent="0.3">
      <c r="A124" s="1" t="s">
        <v>497</v>
      </c>
      <c r="B124" s="1" t="str">
        <f>VLOOKUP(C124,'Code ONU'!$C$1:$E$231,3,FALSE)</f>
        <v>Europe centrale et orientale</v>
      </c>
      <c r="C124" s="1" t="s">
        <v>76</v>
      </c>
      <c r="D124" s="1">
        <v>2024</v>
      </c>
      <c r="E124" s="7">
        <v>6758</v>
      </c>
      <c r="F124" s="7">
        <v>131</v>
      </c>
      <c r="G124" s="4">
        <v>1.9384433264279372E-2</v>
      </c>
    </row>
    <row r="125" spans="1:7" x14ac:dyDescent="0.3">
      <c r="A125" s="1" t="s">
        <v>77</v>
      </c>
      <c r="B125" s="1" t="str">
        <f>VLOOKUP(C125,'Code ONU'!$C$1:$E$231,3,FALSE)</f>
        <v>Afrique de l'Ouest</v>
      </c>
      <c r="C125" s="1" t="s">
        <v>78</v>
      </c>
      <c r="D125" s="1">
        <v>2024</v>
      </c>
      <c r="E125" s="7">
        <v>23549</v>
      </c>
      <c r="F125" s="7">
        <v>5379</v>
      </c>
      <c r="G125" s="4">
        <v>0.22841734256231688</v>
      </c>
    </row>
    <row r="126" spans="1:7" x14ac:dyDescent="0.3">
      <c r="A126" s="1" t="s">
        <v>79</v>
      </c>
      <c r="B126" s="1" t="str">
        <f>VLOOKUP(C126,'Code ONU'!$C$1:$E$231,3,FALSE)</f>
        <v>Afrique de l'Est</v>
      </c>
      <c r="C126" s="1" t="s">
        <v>80</v>
      </c>
      <c r="D126" s="1">
        <v>2024</v>
      </c>
      <c r="E126" s="7">
        <v>14048</v>
      </c>
      <c r="F126" s="7">
        <v>1220</v>
      </c>
      <c r="G126" s="4">
        <v>8.6845102505694757E-2</v>
      </c>
    </row>
    <row r="127" spans="1:7" x14ac:dyDescent="0.3">
      <c r="A127" s="1" t="s">
        <v>82</v>
      </c>
      <c r="B127" s="1" t="str">
        <f>VLOOKUP(C127,'Code ONU'!$C$1:$E$231,3,FALSE)</f>
        <v>Afrique de l'Ouest</v>
      </c>
      <c r="C127" s="1" t="s">
        <v>83</v>
      </c>
      <c r="D127" s="1">
        <v>2024</v>
      </c>
      <c r="E127" s="7">
        <v>525</v>
      </c>
      <c r="F127" s="7">
        <v>57</v>
      </c>
      <c r="G127" s="4">
        <v>0.10857142857142857</v>
      </c>
    </row>
    <row r="128" spans="1:7" x14ac:dyDescent="0.3">
      <c r="A128" s="1" t="s">
        <v>498</v>
      </c>
      <c r="B128" s="1" t="str">
        <f>VLOOKUP(C128,'Code ONU'!$C$1:$E$231,3,FALSE)</f>
        <v>Asie</v>
      </c>
      <c r="C128" s="1" t="s">
        <v>85</v>
      </c>
      <c r="D128" s="1">
        <v>2024</v>
      </c>
      <c r="E128" s="7">
        <v>17639</v>
      </c>
      <c r="F128" s="7">
        <v>29</v>
      </c>
      <c r="G128" s="4">
        <v>1.6440841317535008E-3</v>
      </c>
    </row>
    <row r="129" spans="1:7" x14ac:dyDescent="0.3">
      <c r="A129" s="1" t="s">
        <v>499</v>
      </c>
      <c r="B129" s="1" t="str">
        <f>VLOOKUP(C129,'Code ONU'!$C$1:$E$231,3,FALSE)</f>
        <v>Afrique centrale</v>
      </c>
      <c r="C129" s="1" t="s">
        <v>87</v>
      </c>
      <c r="D129" s="1">
        <v>2024</v>
      </c>
      <c r="E129" s="7">
        <v>29124</v>
      </c>
      <c r="F129" s="7">
        <v>11957</v>
      </c>
      <c r="G129" s="4">
        <v>0.41055486883669828</v>
      </c>
    </row>
    <row r="130" spans="1:7" x14ac:dyDescent="0.3">
      <c r="A130" s="1" t="s">
        <v>88</v>
      </c>
      <c r="B130" s="1" t="str">
        <f>VLOOKUP(C130,'Code ONU'!$C$1:$E$231,3,FALSE)</f>
        <v>Amériques</v>
      </c>
      <c r="C130" s="1" t="s">
        <v>89</v>
      </c>
      <c r="D130" s="1">
        <v>2024</v>
      </c>
      <c r="E130" s="7">
        <v>39953</v>
      </c>
      <c r="F130" s="7">
        <v>10989</v>
      </c>
      <c r="G130" s="4">
        <v>0.27504818161339573</v>
      </c>
    </row>
    <row r="131" spans="1:7" x14ac:dyDescent="0.3">
      <c r="A131" s="1" t="s">
        <v>501</v>
      </c>
      <c r="B131" s="1" t="str">
        <f>VLOOKUP(C131,'Code ONU'!$C$1:$E$231,3,FALSE)</f>
        <v>Afrique centrale</v>
      </c>
      <c r="C131" s="1" t="s">
        <v>93</v>
      </c>
      <c r="D131" s="1">
        <v>2024</v>
      </c>
      <c r="E131" s="7">
        <v>5331</v>
      </c>
      <c r="F131" s="7">
        <v>1300</v>
      </c>
      <c r="G131" s="4">
        <v>0.24385668730069404</v>
      </c>
    </row>
    <row r="132" spans="1:7" x14ac:dyDescent="0.3">
      <c r="A132" s="1" t="s">
        <v>512</v>
      </c>
      <c r="B132" s="1" t="str">
        <f>VLOOKUP(C132,'Code ONU'!$C$1:$E$231,3,FALSE)</f>
        <v>Moyen-Orient</v>
      </c>
      <c r="C132" s="1" t="s">
        <v>123</v>
      </c>
      <c r="D132" s="1">
        <v>2024</v>
      </c>
      <c r="E132" s="7">
        <v>1358</v>
      </c>
      <c r="F132" s="7">
        <v>109</v>
      </c>
      <c r="G132" s="4">
        <v>8.0265095729013261E-2</v>
      </c>
    </row>
    <row r="133" spans="1:7" x14ac:dyDescent="0.3">
      <c r="A133" s="1" t="s">
        <v>507</v>
      </c>
      <c r="B133" s="1" t="str">
        <f>VLOOKUP(C133,'Code ONU'!$C$1:$E$231,3,FALSE)</f>
        <v>Amériques</v>
      </c>
      <c r="C133" s="1" t="s">
        <v>105</v>
      </c>
      <c r="D133" s="1">
        <v>2024</v>
      </c>
      <c r="E133" s="7">
        <v>52886</v>
      </c>
      <c r="F133" s="7">
        <v>5</v>
      </c>
      <c r="G133" s="4">
        <v>9.4542979238361761E-5</v>
      </c>
    </row>
    <row r="134" spans="1:7" x14ac:dyDescent="0.3">
      <c r="A134" s="1" t="s">
        <v>508</v>
      </c>
      <c r="B134" s="1" t="str">
        <f>VLOOKUP(C134,'Code ONU'!$C$1:$E$231,3,FALSE)</f>
        <v>Afrique australe et Océan Indien</v>
      </c>
      <c r="C134" s="1" t="s">
        <v>107</v>
      </c>
      <c r="D134" s="1">
        <v>2024</v>
      </c>
      <c r="E134" s="7">
        <v>867</v>
      </c>
      <c r="F134" s="7">
        <v>291</v>
      </c>
      <c r="G134" s="4">
        <v>0.33564013840830448</v>
      </c>
    </row>
    <row r="135" spans="1:7" x14ac:dyDescent="0.3">
      <c r="A135" s="1" t="s">
        <v>108</v>
      </c>
      <c r="B135" s="1" t="str">
        <f>VLOOKUP(C135,'Code ONU'!$C$1:$E$231,3,FALSE)</f>
        <v>Afrique centrale</v>
      </c>
      <c r="C135" s="1" t="s">
        <v>109</v>
      </c>
      <c r="D135" s="1">
        <v>2024</v>
      </c>
      <c r="E135" s="7">
        <v>6333</v>
      </c>
      <c r="F135" s="7">
        <v>3888</v>
      </c>
      <c r="G135" s="4">
        <v>0.61392704879204174</v>
      </c>
    </row>
    <row r="136" spans="1:7" x14ac:dyDescent="0.3">
      <c r="A136" s="1" t="s">
        <v>515</v>
      </c>
      <c r="B136" s="1" t="str">
        <f>VLOOKUP(C136,'Code ONU'!$C$1:$E$231,3,FALSE)</f>
        <v>Afrique centrale</v>
      </c>
      <c r="C136" s="1" t="s">
        <v>129</v>
      </c>
      <c r="D136" s="1">
        <v>2024</v>
      </c>
      <c r="E136" s="7">
        <v>109276</v>
      </c>
      <c r="F136" s="7">
        <v>55393</v>
      </c>
      <c r="G136" s="4">
        <v>0.50690911087521506</v>
      </c>
    </row>
    <row r="137" spans="1:7" x14ac:dyDescent="0.3">
      <c r="A137" s="1" t="s">
        <v>112</v>
      </c>
      <c r="B137" s="1" t="str">
        <f>VLOOKUP(C137,'Code ONU'!$C$1:$E$231,3,FALSE)</f>
        <v>Amériques</v>
      </c>
      <c r="C137" s="1" t="s">
        <v>113</v>
      </c>
      <c r="D137" s="1">
        <v>2024</v>
      </c>
      <c r="E137" s="7">
        <v>5130</v>
      </c>
      <c r="F137" s="7">
        <v>5</v>
      </c>
      <c r="G137" s="4">
        <v>9.7465886939571145E-4</v>
      </c>
    </row>
    <row r="138" spans="1:7" x14ac:dyDescent="0.3">
      <c r="A138" s="1" t="s">
        <v>510</v>
      </c>
      <c r="B138" s="1" t="str">
        <f>VLOOKUP(C138,'Code ONU'!$C$1:$E$231,3,FALSE)</f>
        <v>Afrique de l'Ouest</v>
      </c>
      <c r="C138" s="1" t="s">
        <v>115</v>
      </c>
      <c r="D138" s="1">
        <v>2024</v>
      </c>
      <c r="E138" s="7">
        <v>31934</v>
      </c>
      <c r="F138" s="7">
        <v>11630</v>
      </c>
      <c r="G138" s="4">
        <v>0.36418863906807791</v>
      </c>
    </row>
    <row r="139" spans="1:7" x14ac:dyDescent="0.3">
      <c r="A139" s="1" t="s">
        <v>511</v>
      </c>
      <c r="B139" s="1" t="str">
        <f>VLOOKUP(C139,'Code ONU'!$C$1:$E$231,3,FALSE)</f>
        <v>Europe centrale et orientale</v>
      </c>
      <c r="C139" s="1" t="s">
        <v>117</v>
      </c>
      <c r="D139" s="1">
        <v>2024</v>
      </c>
      <c r="E139" s="7">
        <v>3875</v>
      </c>
      <c r="F139" s="7">
        <v>70</v>
      </c>
      <c r="G139" s="4">
        <v>1.806451612903226E-2</v>
      </c>
    </row>
    <row r="140" spans="1:7" x14ac:dyDescent="0.3">
      <c r="A140" s="1" t="s">
        <v>516</v>
      </c>
      <c r="B140" s="1" t="str">
        <f>VLOOKUP(C140,'Code ONU'!$C$1:$E$231,3,FALSE)</f>
        <v>Europe occidentale</v>
      </c>
      <c r="C140" s="1" t="s">
        <v>131</v>
      </c>
      <c r="D140" s="1">
        <v>2024</v>
      </c>
      <c r="E140" s="7">
        <v>5977</v>
      </c>
      <c r="F140" s="7">
        <v>522</v>
      </c>
      <c r="G140" s="4">
        <v>8.7334783336121796E-2</v>
      </c>
    </row>
    <row r="141" spans="1:7" x14ac:dyDescent="0.3">
      <c r="A141" s="1" t="s">
        <v>132</v>
      </c>
      <c r="B141" s="1" t="str">
        <f>VLOOKUP(C141,'Code ONU'!$C$1:$E$231,3,FALSE)</f>
        <v>Afrique de l'Est</v>
      </c>
      <c r="C141" s="1" t="s">
        <v>133</v>
      </c>
      <c r="D141" s="1">
        <v>2024</v>
      </c>
      <c r="E141" s="7">
        <v>1169</v>
      </c>
      <c r="F141" s="7">
        <v>584</v>
      </c>
      <c r="G141" s="4">
        <v>0.49957228400342174</v>
      </c>
    </row>
    <row r="142" spans="1:7" x14ac:dyDescent="0.3">
      <c r="A142" s="1" t="s">
        <v>517</v>
      </c>
      <c r="B142" s="1" t="str">
        <f>VLOOKUP(C142,'Code ONU'!$C$1:$E$231,3,FALSE)</f>
        <v>Caraïbes</v>
      </c>
      <c r="C142" s="1" t="s">
        <v>135</v>
      </c>
      <c r="D142" s="1">
        <v>2024</v>
      </c>
      <c r="E142" s="7">
        <v>66</v>
      </c>
      <c r="F142" s="7">
        <v>6</v>
      </c>
      <c r="G142" s="4">
        <v>9.0909090909090912E-2</v>
      </c>
    </row>
    <row r="143" spans="1:7" x14ac:dyDescent="0.3">
      <c r="A143" s="1" t="s">
        <v>520</v>
      </c>
      <c r="B143" s="1" t="str">
        <f>VLOOKUP(C143,'Code ONU'!$C$1:$E$231,3,FALSE)</f>
        <v>Afrique du Nord</v>
      </c>
      <c r="C143" s="1" t="s">
        <v>141</v>
      </c>
      <c r="D143" s="1">
        <v>2024</v>
      </c>
      <c r="E143" s="7">
        <v>116538</v>
      </c>
      <c r="F143" s="7">
        <v>3518</v>
      </c>
      <c r="G143" s="4">
        <v>3.0187578300640134E-2</v>
      </c>
    </row>
    <row r="144" spans="1:7" x14ac:dyDescent="0.3">
      <c r="A144" s="1" t="s">
        <v>639</v>
      </c>
      <c r="B144" s="1" t="str">
        <f>VLOOKUP(C144,'Code ONU'!$C$1:$E$231,3,FALSE)</f>
        <v>Moyen-Orient</v>
      </c>
      <c r="C144" s="1" t="s">
        <v>448</v>
      </c>
      <c r="D144" s="1">
        <v>2024</v>
      </c>
      <c r="E144" s="7">
        <v>11027</v>
      </c>
      <c r="F144" s="7">
        <v>289</v>
      </c>
      <c r="G144" s="4">
        <v>2.6208397569601888E-2</v>
      </c>
    </row>
    <row r="145" spans="1:7" x14ac:dyDescent="0.3">
      <c r="A145" s="1" t="s">
        <v>607</v>
      </c>
      <c r="B145" s="1" t="str">
        <f>VLOOKUP(C145,'Code ONU'!$C$1:$E$231,3,FALSE)</f>
        <v>Europe occidentale</v>
      </c>
      <c r="C145" s="1" t="s">
        <v>404</v>
      </c>
      <c r="D145" s="1">
        <v>2024</v>
      </c>
      <c r="E145" s="7">
        <v>47911</v>
      </c>
      <c r="F145" s="7">
        <v>5752</v>
      </c>
      <c r="G145" s="4">
        <v>0.12005593704994677</v>
      </c>
    </row>
    <row r="146" spans="1:7" x14ac:dyDescent="0.3">
      <c r="A146" s="1" t="s">
        <v>523</v>
      </c>
      <c r="B146" s="1" t="str">
        <f>VLOOKUP(C146,'Code ONU'!$C$1:$E$231,3,FALSE)</f>
        <v>Europe occidentale</v>
      </c>
      <c r="C146" s="1" t="s">
        <v>149</v>
      </c>
      <c r="D146" s="1">
        <v>2024</v>
      </c>
      <c r="E146" s="7">
        <v>1361</v>
      </c>
      <c r="F146" s="7">
        <v>19</v>
      </c>
      <c r="G146" s="4">
        <v>1.3960323291697281E-2</v>
      </c>
    </row>
    <row r="147" spans="1:7" x14ac:dyDescent="0.3">
      <c r="A147" s="1" t="s">
        <v>640</v>
      </c>
      <c r="B147" s="1" t="str">
        <f>VLOOKUP(C147,'Code ONU'!$C$1:$E$231,3,FALSE)</f>
        <v>Amériques</v>
      </c>
      <c r="C147" s="1" t="s">
        <v>454</v>
      </c>
      <c r="D147" s="1">
        <v>2024</v>
      </c>
      <c r="E147" s="7">
        <v>345427</v>
      </c>
      <c r="F147" s="7">
        <v>2198</v>
      </c>
      <c r="G147" s="4">
        <v>6.3631389555535616E-3</v>
      </c>
    </row>
    <row r="148" spans="1:7" x14ac:dyDescent="0.3">
      <c r="A148" s="1" t="s">
        <v>587</v>
      </c>
      <c r="B148" s="1" t="str">
        <f>VLOOKUP(C148,'Code ONU'!$C$1:$E$231,3,FALSE)</f>
        <v>Europe centrale et orientale</v>
      </c>
      <c r="C148" s="1" t="s">
        <v>356</v>
      </c>
      <c r="D148" s="1">
        <v>2024</v>
      </c>
      <c r="E148" s="7">
        <v>144820</v>
      </c>
      <c r="F148" s="7">
        <v>624</v>
      </c>
      <c r="G148" s="4">
        <v>4.3087971274685813E-3</v>
      </c>
    </row>
    <row r="149" spans="1:7" x14ac:dyDescent="0.3">
      <c r="A149" s="1" t="s">
        <v>528</v>
      </c>
      <c r="B149" s="1" t="str">
        <f>VLOOKUP(C149,'Code ONU'!$C$1:$E$231,3,FALSE)</f>
        <v>Europe occidentale</v>
      </c>
      <c r="C149" s="1" t="s">
        <v>161</v>
      </c>
      <c r="D149" s="1">
        <v>2024</v>
      </c>
      <c r="E149" s="7">
        <v>5617</v>
      </c>
      <c r="F149" s="7">
        <v>469</v>
      </c>
      <c r="G149" s="4">
        <v>8.3496528395940892E-2</v>
      </c>
    </row>
    <row r="150" spans="1:7" x14ac:dyDescent="0.3">
      <c r="A150" s="1" t="s">
        <v>162</v>
      </c>
      <c r="B150" s="1" t="str">
        <f>VLOOKUP(C150,'Code ONU'!$C$1:$E$231,3,FALSE)</f>
        <v>Europe occidentale</v>
      </c>
      <c r="C150" s="1" t="s">
        <v>163</v>
      </c>
      <c r="D150" s="1">
        <v>2024</v>
      </c>
      <c r="E150" s="7">
        <v>66549</v>
      </c>
      <c r="F150" s="7">
        <v>64317</v>
      </c>
      <c r="G150" s="4">
        <v>0.966460803317856</v>
      </c>
    </row>
    <row r="151" spans="1:7" x14ac:dyDescent="0.3">
      <c r="A151" s="1" t="s">
        <v>168</v>
      </c>
      <c r="B151" s="1" t="str">
        <f>VLOOKUP(C151,'Code ONU'!$C$1:$E$231,3,FALSE)</f>
        <v>Afrique centrale</v>
      </c>
      <c r="C151" s="1" t="s">
        <v>169</v>
      </c>
      <c r="D151" s="1">
        <v>2024</v>
      </c>
      <c r="E151" s="7">
        <v>2539</v>
      </c>
      <c r="F151" s="7">
        <v>1683</v>
      </c>
      <c r="G151" s="4">
        <v>0.66285939346199296</v>
      </c>
    </row>
    <row r="152" spans="1:7" x14ac:dyDescent="0.3">
      <c r="A152" s="1" t="s">
        <v>531</v>
      </c>
      <c r="B152" s="1" t="str">
        <f>VLOOKUP(C152,'Code ONU'!$C$1:$E$231,3,FALSE)</f>
        <v>Afrique de l'Ouest</v>
      </c>
      <c r="C152" s="1" t="s">
        <v>171</v>
      </c>
      <c r="D152" s="1">
        <v>2024</v>
      </c>
      <c r="E152" s="7">
        <v>2760</v>
      </c>
      <c r="F152" s="7">
        <v>552</v>
      </c>
      <c r="G152" s="4">
        <v>0.2</v>
      </c>
    </row>
    <row r="153" spans="1:7" x14ac:dyDescent="0.3">
      <c r="A153" s="1" t="s">
        <v>532</v>
      </c>
      <c r="B153" s="1" t="str">
        <f>VLOOKUP(C153,'Code ONU'!$C$1:$E$231,3,FALSE)</f>
        <v>Moyen-Orient</v>
      </c>
      <c r="C153" s="1" t="s">
        <v>173</v>
      </c>
      <c r="D153" s="1">
        <v>2024</v>
      </c>
      <c r="E153" s="7">
        <v>3808</v>
      </c>
      <c r="F153" s="7">
        <v>16</v>
      </c>
      <c r="G153" s="4">
        <v>4.2016806722689074E-3</v>
      </c>
    </row>
    <row r="154" spans="1:7" x14ac:dyDescent="0.3">
      <c r="A154" s="1" t="s">
        <v>176</v>
      </c>
      <c r="B154" s="1" t="str">
        <f>VLOOKUP(C154,'Code ONU'!$C$1:$E$231,3,FALSE)</f>
        <v>Afrique de l'Ouest</v>
      </c>
      <c r="C154" s="1" t="s">
        <v>177</v>
      </c>
      <c r="D154" s="1">
        <v>2024</v>
      </c>
      <c r="E154" s="7">
        <v>34427</v>
      </c>
      <c r="F154" s="7">
        <v>633</v>
      </c>
      <c r="G154" s="4">
        <v>1.8386731344584191E-2</v>
      </c>
    </row>
    <row r="155" spans="1:7" x14ac:dyDescent="0.3">
      <c r="A155" s="1" t="s">
        <v>534</v>
      </c>
      <c r="B155" s="1" t="str">
        <f>VLOOKUP(C155,'Code ONU'!$C$1:$E$231,3,FALSE)</f>
        <v>Europe occidentale</v>
      </c>
      <c r="C155" s="1" t="s">
        <v>181</v>
      </c>
      <c r="D155" s="1">
        <v>2024</v>
      </c>
      <c r="E155" s="7">
        <v>10048</v>
      </c>
      <c r="F155" s="7">
        <v>612</v>
      </c>
      <c r="G155" s="4">
        <v>6.0907643312101911E-2</v>
      </c>
    </row>
    <row r="156" spans="1:7" x14ac:dyDescent="0.3">
      <c r="A156" s="1" t="s">
        <v>186</v>
      </c>
      <c r="B156" s="1" t="str">
        <f>VLOOKUP(C156,'Code ONU'!$C$1:$E$231,3,FALSE)</f>
        <v>Caraïbes</v>
      </c>
      <c r="C156" s="1" t="s">
        <v>187</v>
      </c>
      <c r="D156" s="1">
        <v>2024</v>
      </c>
      <c r="E156" s="7">
        <v>375</v>
      </c>
      <c r="F156" s="7">
        <v>315</v>
      </c>
      <c r="G156" s="4">
        <v>0.84</v>
      </c>
    </row>
    <row r="157" spans="1:7" x14ac:dyDescent="0.3">
      <c r="A157" s="1" t="s">
        <v>537</v>
      </c>
      <c r="B157" s="1" t="str">
        <f>VLOOKUP(C157,'Code ONU'!$C$1:$E$231,3,FALSE)</f>
        <v>Afrique de l'Ouest</v>
      </c>
      <c r="C157" s="1" t="s">
        <v>193</v>
      </c>
      <c r="D157" s="1">
        <v>2024</v>
      </c>
      <c r="E157" s="7">
        <v>14755</v>
      </c>
      <c r="F157" s="7">
        <v>4106</v>
      </c>
      <c r="G157" s="4">
        <v>0.27827854964418841</v>
      </c>
    </row>
    <row r="158" spans="1:7" x14ac:dyDescent="0.3">
      <c r="A158" s="1" t="s">
        <v>521</v>
      </c>
      <c r="B158" s="1" t="str">
        <f>VLOOKUP(C158,'Code ONU'!$C$1:$E$231,3,FALSE)</f>
        <v>Afrique centrale</v>
      </c>
      <c r="C158" s="1" t="s">
        <v>145</v>
      </c>
      <c r="D158" s="1">
        <v>2024</v>
      </c>
      <c r="E158" s="7">
        <v>1893</v>
      </c>
      <c r="F158" s="7">
        <v>547</v>
      </c>
      <c r="G158" s="4">
        <v>0.28895932382461703</v>
      </c>
    </row>
    <row r="159" spans="1:7" x14ac:dyDescent="0.3">
      <c r="A159" s="1" t="s">
        <v>538</v>
      </c>
      <c r="B159" s="1" t="str">
        <f>VLOOKUP(C159,'Code ONU'!$C$1:$E$231,3,FALSE)</f>
        <v>Afrique de l'Ouest</v>
      </c>
      <c r="C159" s="1" t="s">
        <v>195</v>
      </c>
      <c r="D159" s="1">
        <v>2024</v>
      </c>
      <c r="E159" s="7">
        <v>2201</v>
      </c>
      <c r="F159" s="7">
        <v>339</v>
      </c>
      <c r="G159" s="4">
        <v>0.15402089959109497</v>
      </c>
    </row>
    <row r="160" spans="1:7" x14ac:dyDescent="0.3">
      <c r="A160" s="1" t="s">
        <v>529</v>
      </c>
      <c r="B160" s="1" t="str">
        <f>VLOOKUP(C160,'Code ONU'!$C$1:$E$231,3,FALSE)</f>
        <v>Amériques</v>
      </c>
      <c r="C160" s="1" t="s">
        <v>165</v>
      </c>
      <c r="D160" s="1">
        <v>2024</v>
      </c>
      <c r="E160" s="7">
        <v>309</v>
      </c>
      <c r="F160" s="7">
        <v>191</v>
      </c>
      <c r="G160" s="4">
        <v>0.6181229773462783</v>
      </c>
    </row>
    <row r="161" spans="1:7" x14ac:dyDescent="0.3">
      <c r="A161" s="1" t="s">
        <v>539</v>
      </c>
      <c r="B161" s="1" t="str">
        <f>VLOOKUP(C161,'Code ONU'!$C$1:$E$231,3,FALSE)</f>
        <v>Caraïbes</v>
      </c>
      <c r="C161" s="1" t="s">
        <v>199</v>
      </c>
      <c r="D161" s="1">
        <v>2024</v>
      </c>
      <c r="E161" s="7">
        <v>11773</v>
      </c>
      <c r="F161" s="7">
        <v>4945</v>
      </c>
      <c r="G161" s="4">
        <v>0.42002887963985391</v>
      </c>
    </row>
    <row r="162" spans="1:7" x14ac:dyDescent="0.3">
      <c r="A162" s="1" t="s">
        <v>540</v>
      </c>
      <c r="B162" s="1" t="str">
        <f>VLOOKUP(C162,'Code ONU'!$C$1:$E$231,3,FALSE)</f>
        <v>Europe centrale et orientale</v>
      </c>
      <c r="C162" s="1" t="s">
        <v>203</v>
      </c>
      <c r="D162" s="1">
        <v>2024</v>
      </c>
      <c r="E162" s="7">
        <v>9676</v>
      </c>
      <c r="F162" s="7">
        <v>148</v>
      </c>
      <c r="G162" s="4">
        <v>1.5295576684580404E-2</v>
      </c>
    </row>
    <row r="163" spans="1:7" x14ac:dyDescent="0.3">
      <c r="A163" s="1" t="s">
        <v>629</v>
      </c>
      <c r="B163" s="1" t="str">
        <f>VLOOKUP(C163,'Code ONU'!$C$1:$E$231,3,FALSE)</f>
        <v>Océanie</v>
      </c>
      <c r="C163" s="1" t="s">
        <v>468</v>
      </c>
      <c r="D163" s="1">
        <v>2024</v>
      </c>
      <c r="E163" s="7">
        <v>11</v>
      </c>
      <c r="F163" s="7">
        <v>10</v>
      </c>
      <c r="G163" s="4">
        <v>0.90909090909090906</v>
      </c>
    </row>
    <row r="164" spans="1:7" x14ac:dyDescent="0.3">
      <c r="A164" s="1" t="s">
        <v>545</v>
      </c>
      <c r="B164" s="1" t="str">
        <f>VLOOKUP(C164,'Code ONU'!$C$1:$E$231,3,FALSE)</f>
        <v>Europe occidentale</v>
      </c>
      <c r="C164" s="1" t="s">
        <v>215</v>
      </c>
      <c r="D164" s="1">
        <v>2024</v>
      </c>
      <c r="E164" s="7">
        <v>5255</v>
      </c>
      <c r="F164" s="7">
        <v>884</v>
      </c>
      <c r="G164" s="4">
        <v>0.168220742150333</v>
      </c>
    </row>
    <row r="165" spans="1:7" x14ac:dyDescent="0.3">
      <c r="A165" s="1" t="s">
        <v>541</v>
      </c>
      <c r="B165" s="1" t="str">
        <f>VLOOKUP(C165,'Code ONU'!$C$1:$E$231,3,FALSE)</f>
        <v>Europe occidentale</v>
      </c>
      <c r="C165" s="1" t="s">
        <v>205</v>
      </c>
      <c r="D165" s="1">
        <v>2024</v>
      </c>
      <c r="E165" s="7">
        <v>393</v>
      </c>
      <c r="F165" s="7">
        <v>26</v>
      </c>
      <c r="G165" s="4">
        <v>6.6157760814249358E-2</v>
      </c>
    </row>
    <row r="166" spans="1:7" x14ac:dyDescent="0.3">
      <c r="A166" s="1" t="s">
        <v>547</v>
      </c>
      <c r="B166" s="1" t="str">
        <f>VLOOKUP(C166,'Code ONU'!$C$1:$E$231,3,FALSE)</f>
        <v>Moyen-Orient</v>
      </c>
      <c r="C166" s="1" t="s">
        <v>219</v>
      </c>
      <c r="D166" s="1">
        <v>2024</v>
      </c>
      <c r="E166" s="7">
        <v>9387</v>
      </c>
      <c r="F166" s="7">
        <v>555</v>
      </c>
      <c r="G166" s="4">
        <v>5.912432086928731E-2</v>
      </c>
    </row>
    <row r="167" spans="1:7" x14ac:dyDescent="0.3">
      <c r="A167" s="1" t="s">
        <v>548</v>
      </c>
      <c r="B167" s="1" t="str">
        <f>VLOOKUP(C167,'Code ONU'!$C$1:$E$231,3,FALSE)</f>
        <v>Europe occidentale</v>
      </c>
      <c r="C167" s="1" t="s">
        <v>221</v>
      </c>
      <c r="D167" s="1">
        <v>2024</v>
      </c>
      <c r="E167" s="7">
        <v>59343</v>
      </c>
      <c r="F167" s="7">
        <v>12462</v>
      </c>
      <c r="G167" s="4">
        <v>0.20999949446438501</v>
      </c>
    </row>
    <row r="168" spans="1:7" x14ac:dyDescent="0.3">
      <c r="A168" s="1" t="s">
        <v>550</v>
      </c>
      <c r="B168" s="1" t="str">
        <f>VLOOKUP(C168,'Code ONU'!$C$1:$E$231,3,FALSE)</f>
        <v>Asie</v>
      </c>
      <c r="C168" s="1" t="s">
        <v>225</v>
      </c>
      <c r="D168" s="1">
        <v>2024</v>
      </c>
      <c r="E168" s="7">
        <v>123753</v>
      </c>
      <c r="F168" s="7">
        <v>31</v>
      </c>
      <c r="G168" s="4">
        <v>2.5049897780255831E-4</v>
      </c>
    </row>
    <row r="169" spans="1:7" x14ac:dyDescent="0.3">
      <c r="A169" s="1" t="s">
        <v>234</v>
      </c>
      <c r="B169" s="1" t="str">
        <f>VLOOKUP(C169,'Code ONU'!$C$1:$E$231,3,FALSE)</f>
        <v>Europe centrale et orientale</v>
      </c>
      <c r="C169" s="1" t="s">
        <v>235</v>
      </c>
      <c r="D169" s="1">
        <v>2024</v>
      </c>
      <c r="E169" s="7">
        <v>1685</v>
      </c>
      <c r="F169" s="7">
        <v>24</v>
      </c>
      <c r="G169" s="4">
        <v>1.4243323442136498E-2</v>
      </c>
    </row>
    <row r="170" spans="1:7" x14ac:dyDescent="0.3">
      <c r="A170" s="1" t="s">
        <v>554</v>
      </c>
      <c r="B170" s="1" t="str">
        <f>VLOOKUP(C170,'Code ONU'!$C$1:$E$231,3,FALSE)</f>
        <v>Asie</v>
      </c>
      <c r="C170" s="1" t="s">
        <v>241</v>
      </c>
      <c r="D170" s="1">
        <v>2024</v>
      </c>
      <c r="E170" s="7">
        <v>7770</v>
      </c>
      <c r="F170" s="7">
        <v>212</v>
      </c>
      <c r="G170" s="4">
        <v>2.7284427284427284E-2</v>
      </c>
    </row>
    <row r="171" spans="1:7" x14ac:dyDescent="0.3">
      <c r="A171" s="1" t="s">
        <v>555</v>
      </c>
      <c r="B171" s="1" t="str">
        <f>VLOOKUP(C171,'Code ONU'!$C$1:$E$231,3,FALSE)</f>
        <v>Europe occidentale</v>
      </c>
      <c r="C171" s="1" t="s">
        <v>243</v>
      </c>
      <c r="D171" s="1">
        <v>2024</v>
      </c>
      <c r="E171" s="7">
        <v>1872</v>
      </c>
      <c r="F171" s="7">
        <v>24</v>
      </c>
      <c r="G171" s="4">
        <v>1.282051282051282E-2</v>
      </c>
    </row>
    <row r="172" spans="1:7" x14ac:dyDescent="0.3">
      <c r="A172" s="1" t="s">
        <v>556</v>
      </c>
      <c r="B172" s="1" t="str">
        <f>VLOOKUP(C172,'Code ONU'!$C$1:$E$231,3,FALSE)</f>
        <v>Moyen-Orient</v>
      </c>
      <c r="C172" s="1" t="s">
        <v>245</v>
      </c>
      <c r="D172" s="1">
        <v>2024</v>
      </c>
      <c r="E172" s="7">
        <v>5806</v>
      </c>
      <c r="F172" s="7">
        <v>2206</v>
      </c>
      <c r="G172" s="4">
        <v>0.37995177402686875</v>
      </c>
    </row>
    <row r="173" spans="1:7" x14ac:dyDescent="0.3">
      <c r="A173" s="1" t="s">
        <v>559</v>
      </c>
      <c r="B173" s="1" t="str">
        <f>VLOOKUP(C173,'Code ONU'!$C$1:$E$231,3,FALSE)</f>
        <v>Europe occidentale</v>
      </c>
      <c r="C173" s="1" t="s">
        <v>255</v>
      </c>
      <c r="D173" s="1">
        <v>2024</v>
      </c>
      <c r="E173" s="7">
        <v>2859</v>
      </c>
      <c r="F173" s="7">
        <v>62</v>
      </c>
      <c r="G173" s="4">
        <v>2.168590416229451E-2</v>
      </c>
    </row>
    <row r="174" spans="1:7" x14ac:dyDescent="0.3">
      <c r="A174" s="1" t="s">
        <v>256</v>
      </c>
      <c r="B174" s="1" t="str">
        <f>VLOOKUP(C174,'Code ONU'!$C$1:$E$231,3,FALSE)</f>
        <v>Europe occidentale</v>
      </c>
      <c r="C174" s="1" t="s">
        <v>257</v>
      </c>
      <c r="D174" s="1">
        <v>2024</v>
      </c>
      <c r="E174" s="7">
        <v>673</v>
      </c>
      <c r="F174" s="7">
        <v>609</v>
      </c>
      <c r="G174" s="4">
        <v>0.9049034175334324</v>
      </c>
    </row>
    <row r="175" spans="1:7" x14ac:dyDescent="0.3">
      <c r="A175" s="1" t="s">
        <v>577</v>
      </c>
      <c r="B175" s="1" t="str">
        <f>VLOOKUP(C175,'Code ONU'!$C$1:$E$231,3,FALSE)</f>
        <v>Europe centrale et orientale</v>
      </c>
      <c r="C175" s="1" t="s">
        <v>319</v>
      </c>
      <c r="D175" s="1">
        <v>2024</v>
      </c>
      <c r="E175" s="7">
        <v>1823</v>
      </c>
      <c r="F175" s="7">
        <v>35</v>
      </c>
      <c r="G175" s="4">
        <v>1.9199122325836534E-2</v>
      </c>
    </row>
    <row r="176" spans="1:7" x14ac:dyDescent="0.3">
      <c r="A176" s="1" t="s">
        <v>258</v>
      </c>
      <c r="B176" s="1" t="str">
        <f>VLOOKUP(C176,'Code ONU'!$C$1:$E$231,3,FALSE)</f>
        <v>Afrique australe et Océan Indien</v>
      </c>
      <c r="C176" s="1" t="s">
        <v>259</v>
      </c>
      <c r="D176" s="1">
        <v>2024</v>
      </c>
      <c r="E176" s="7">
        <v>31965</v>
      </c>
      <c r="F176" s="7">
        <v>8499</v>
      </c>
      <c r="G176" s="4">
        <v>0.26588456123885501</v>
      </c>
    </row>
    <row r="177" spans="1:7" x14ac:dyDescent="0.3">
      <c r="A177" s="1" t="s">
        <v>266</v>
      </c>
      <c r="B177" s="1" t="str">
        <f>VLOOKUP(C177,'Code ONU'!$C$1:$E$231,3,FALSE)</f>
        <v>Afrique de l'Ouest</v>
      </c>
      <c r="C177" s="1" t="s">
        <v>267</v>
      </c>
      <c r="D177" s="1">
        <v>2024</v>
      </c>
      <c r="E177" s="7">
        <v>24479</v>
      </c>
      <c r="F177" s="7">
        <v>4884</v>
      </c>
      <c r="G177" s="4">
        <v>0.19951795416479431</v>
      </c>
    </row>
    <row r="178" spans="1:7" x14ac:dyDescent="0.3">
      <c r="A178" s="1" t="s">
        <v>561</v>
      </c>
      <c r="B178" s="1" t="str">
        <f>VLOOKUP(C178,'Code ONU'!$C$1:$E$231,3,FALSE)</f>
        <v>Europe occidentale</v>
      </c>
      <c r="C178" s="1" t="s">
        <v>269</v>
      </c>
      <c r="D178" s="1">
        <v>2024</v>
      </c>
      <c r="E178" s="7">
        <v>540</v>
      </c>
      <c r="F178" s="7">
        <v>70</v>
      </c>
      <c r="G178" s="4">
        <v>0.12962962962962962</v>
      </c>
    </row>
    <row r="179" spans="1:7" x14ac:dyDescent="0.3">
      <c r="A179" s="1" t="s">
        <v>569</v>
      </c>
      <c r="B179" s="1" t="str">
        <f>VLOOKUP(C179,'Code ONU'!$C$1:$E$231,3,FALSE)</f>
        <v>Afrique du Nord</v>
      </c>
      <c r="C179" s="1" t="s">
        <v>293</v>
      </c>
      <c r="D179" s="1">
        <v>2024</v>
      </c>
      <c r="E179" s="7">
        <v>38081</v>
      </c>
      <c r="F179" s="7">
        <v>13705</v>
      </c>
      <c r="G179" s="4">
        <v>0.35989075917124025</v>
      </c>
    </row>
    <row r="180" spans="1:7" x14ac:dyDescent="0.3">
      <c r="A180" s="1" t="s">
        <v>272</v>
      </c>
      <c r="B180" s="1" t="str">
        <f>VLOOKUP(C180,'Code ONU'!$C$1:$E$231,3,FALSE)</f>
        <v>Caraïbes</v>
      </c>
      <c r="C180" s="1" t="s">
        <v>273</v>
      </c>
      <c r="D180" s="1">
        <v>2024</v>
      </c>
      <c r="E180" s="7">
        <v>343</v>
      </c>
      <c r="F180" s="7">
        <v>278</v>
      </c>
      <c r="G180" s="4">
        <v>0.81049562682215748</v>
      </c>
    </row>
    <row r="181" spans="1:7" x14ac:dyDescent="0.3">
      <c r="A181" s="1" t="s">
        <v>272</v>
      </c>
      <c r="B181" s="1" t="str">
        <f>VLOOKUP(C181,'Code ONU'!$C$1:$E$231,3,FALSE)</f>
        <v>Caraïbes</v>
      </c>
      <c r="C181" s="1" t="s">
        <v>273</v>
      </c>
      <c r="D181" s="1">
        <v>2024</v>
      </c>
      <c r="E181" s="7">
        <v>26</v>
      </c>
      <c r="F181" s="7">
        <v>22</v>
      </c>
      <c r="G181" s="4">
        <v>0.84615384615384615</v>
      </c>
    </row>
    <row r="182" spans="1:7" x14ac:dyDescent="0.3">
      <c r="A182" s="1" t="s">
        <v>564</v>
      </c>
      <c r="B182" s="1" t="str">
        <f>VLOOKUP(C182,'Code ONU'!$C$1:$E$231,3,FALSE)</f>
        <v>Afrique australe et Océan Indien</v>
      </c>
      <c r="C182" s="1" t="s">
        <v>277</v>
      </c>
      <c r="D182" s="1">
        <v>2024</v>
      </c>
      <c r="E182" s="7">
        <v>1271</v>
      </c>
      <c r="F182" s="7">
        <v>923</v>
      </c>
      <c r="G182" s="4">
        <v>0.72619984264358772</v>
      </c>
    </row>
    <row r="183" spans="1:7" x14ac:dyDescent="0.3">
      <c r="A183" s="1" t="s">
        <v>563</v>
      </c>
      <c r="B183" s="1" t="str">
        <f>VLOOKUP(C183,'Code ONU'!$C$1:$E$231,3,FALSE)</f>
        <v>Afrique du Nord</v>
      </c>
      <c r="C183" s="1" t="s">
        <v>275</v>
      </c>
      <c r="D183" s="1">
        <v>2024</v>
      </c>
      <c r="E183" s="7">
        <v>5169</v>
      </c>
      <c r="F183" s="7">
        <v>670</v>
      </c>
      <c r="G183" s="4">
        <v>0.12961888179531825</v>
      </c>
    </row>
    <row r="184" spans="1:7" x14ac:dyDescent="0.3">
      <c r="A184" s="1" t="s">
        <v>278</v>
      </c>
      <c r="B184" s="1" t="str">
        <f>VLOOKUP(C184,'Code ONU'!$C$1:$E$231,3,FALSE)</f>
        <v>Afrique australe et Océan Indien</v>
      </c>
      <c r="C184" s="1" t="s">
        <v>279</v>
      </c>
      <c r="D184" s="1">
        <v>2024</v>
      </c>
      <c r="E184" s="7">
        <v>327</v>
      </c>
      <c r="F184" s="7">
        <v>206</v>
      </c>
      <c r="G184" s="4">
        <v>0.62996941896024461</v>
      </c>
    </row>
    <row r="185" spans="1:7" x14ac:dyDescent="0.3">
      <c r="A185" s="1" t="s">
        <v>565</v>
      </c>
      <c r="B185" s="1" t="str">
        <f>VLOOKUP(C185,'Code ONU'!$C$1:$E$231,3,FALSE)</f>
        <v>Amériques</v>
      </c>
      <c r="C185" s="1" t="s">
        <v>281</v>
      </c>
      <c r="D185" s="1">
        <v>2024</v>
      </c>
      <c r="E185" s="7">
        <v>130861</v>
      </c>
      <c r="F185" s="7">
        <v>30</v>
      </c>
      <c r="G185" s="4">
        <v>2.2925088452632948E-4</v>
      </c>
    </row>
    <row r="186" spans="1:7" x14ac:dyDescent="0.3">
      <c r="A186" s="1" t="s">
        <v>585</v>
      </c>
      <c r="B186" s="1" t="str">
        <f>VLOOKUP(C186,'Code ONU'!$C$1:$E$231,3,FALSE)</f>
        <v>Europe centrale et orientale</v>
      </c>
      <c r="C186" s="1" t="s">
        <v>350</v>
      </c>
      <c r="D186" s="1">
        <v>2024</v>
      </c>
      <c r="E186" s="7">
        <v>3035</v>
      </c>
      <c r="F186" s="7">
        <v>41</v>
      </c>
      <c r="G186" s="4">
        <v>1.3509060955518945E-2</v>
      </c>
    </row>
    <row r="187" spans="1:7" x14ac:dyDescent="0.3">
      <c r="A187" s="1" t="s">
        <v>284</v>
      </c>
      <c r="B187" s="1" t="str">
        <f>VLOOKUP(C187,'Code ONU'!$C$1:$E$231,3,FALSE)</f>
        <v>Europe occidentale</v>
      </c>
      <c r="C187" s="1" t="s">
        <v>285</v>
      </c>
      <c r="D187" s="1">
        <v>2024</v>
      </c>
      <c r="E187" s="7">
        <v>39</v>
      </c>
      <c r="F187" s="7">
        <v>37</v>
      </c>
      <c r="G187" s="4">
        <v>0.94871794871794868</v>
      </c>
    </row>
    <row r="188" spans="1:7" x14ac:dyDescent="0.3">
      <c r="A188" s="1" t="s">
        <v>568</v>
      </c>
      <c r="B188" s="1" t="str">
        <f>VLOOKUP(C188,'Code ONU'!$C$1:$E$231,3,FALSE)</f>
        <v>Europe centrale et orientale</v>
      </c>
      <c r="C188" s="1" t="s">
        <v>289</v>
      </c>
      <c r="D188" s="1">
        <v>2024</v>
      </c>
      <c r="E188" s="7">
        <v>638</v>
      </c>
      <c r="F188" s="7">
        <v>13</v>
      </c>
      <c r="G188" s="4">
        <v>2.037617554858934E-2</v>
      </c>
    </row>
    <row r="189" spans="1:7" x14ac:dyDescent="0.3">
      <c r="A189" s="1" t="s">
        <v>294</v>
      </c>
      <c r="B189" s="1" t="str">
        <f>VLOOKUP(C189,'Code ONU'!$C$1:$E$231,3,FALSE)</f>
        <v>Afrique de l'Est</v>
      </c>
      <c r="C189" s="1" t="s">
        <v>295</v>
      </c>
      <c r="D189" s="1">
        <v>2024</v>
      </c>
      <c r="E189" s="7">
        <v>34632</v>
      </c>
      <c r="F189" s="7">
        <v>103</v>
      </c>
      <c r="G189" s="4">
        <v>2.9741279741279741E-3</v>
      </c>
    </row>
    <row r="190" spans="1:7" x14ac:dyDescent="0.3">
      <c r="A190" s="1" t="s">
        <v>312</v>
      </c>
      <c r="B190" s="1" t="str">
        <f>VLOOKUP(C190,'Code ONU'!$C$1:$E$231,3,FALSE)</f>
        <v>Afrique de l'Ouest</v>
      </c>
      <c r="C190" s="1" t="s">
        <v>313</v>
      </c>
      <c r="D190" s="1">
        <v>2024</v>
      </c>
      <c r="E190" s="7">
        <v>27032</v>
      </c>
      <c r="F190" s="7">
        <v>3635</v>
      </c>
      <c r="G190" s="4">
        <v>0.13447025747262503</v>
      </c>
    </row>
    <row r="191" spans="1:7" x14ac:dyDescent="0.3">
      <c r="A191" s="1" t="s">
        <v>579</v>
      </c>
      <c r="B191" s="1" t="str">
        <f>VLOOKUP(C191,'Code ONU'!$C$1:$E$231,3,FALSE)</f>
        <v>Europe occidentale</v>
      </c>
      <c r="C191" s="1" t="s">
        <v>323</v>
      </c>
      <c r="D191" s="1">
        <v>2024</v>
      </c>
      <c r="E191" s="7">
        <v>5577</v>
      </c>
      <c r="F191" s="7">
        <v>400</v>
      </c>
      <c r="G191" s="4">
        <v>7.1723148646225574E-2</v>
      </c>
    </row>
    <row r="192" spans="1:7" x14ac:dyDescent="0.3">
      <c r="A192" s="1" t="s">
        <v>573</v>
      </c>
      <c r="B192" s="1" t="str">
        <f>VLOOKUP(C192,'Code ONU'!$C$1:$E$231,3,FALSE)</f>
        <v>Océanie</v>
      </c>
      <c r="C192" s="1" t="s">
        <v>307</v>
      </c>
      <c r="D192" s="1">
        <v>2024</v>
      </c>
      <c r="E192" s="7">
        <v>293</v>
      </c>
      <c r="F192" s="7">
        <v>289</v>
      </c>
      <c r="G192" s="4">
        <v>0.98634812286689422</v>
      </c>
    </row>
    <row r="193" spans="1:7" x14ac:dyDescent="0.3">
      <c r="A193" s="1" t="s">
        <v>334</v>
      </c>
      <c r="B193" s="1" t="str">
        <f>VLOOKUP(C193,'Code ONU'!$C$1:$E$231,3,FALSE)</f>
        <v>Amériques</v>
      </c>
      <c r="C193" s="1" t="s">
        <v>335</v>
      </c>
      <c r="D193" s="1">
        <v>2024</v>
      </c>
      <c r="E193" s="7">
        <v>6929</v>
      </c>
      <c r="F193" s="7">
        <v>14</v>
      </c>
      <c r="G193" s="4">
        <v>2.0204935777168422E-3</v>
      </c>
    </row>
    <row r="194" spans="1:7" x14ac:dyDescent="0.3">
      <c r="A194" s="1" t="s">
        <v>572</v>
      </c>
      <c r="B194" s="1" t="str">
        <f>VLOOKUP(C194,'Code ONU'!$C$1:$E$231,3,FALSE)</f>
        <v>Europe occidentale</v>
      </c>
      <c r="C194" s="1" t="s">
        <v>305</v>
      </c>
      <c r="D194" s="1">
        <v>2024</v>
      </c>
      <c r="E194" s="7">
        <v>18229</v>
      </c>
      <c r="F194" s="7">
        <v>5042</v>
      </c>
      <c r="G194" s="4">
        <v>0.27659224312908004</v>
      </c>
    </row>
    <row r="195" spans="1:7" x14ac:dyDescent="0.3">
      <c r="A195" s="1" t="s">
        <v>583</v>
      </c>
      <c r="B195" s="1" t="str">
        <f>VLOOKUP(C195,'Code ONU'!$C$1:$E$231,3,FALSE)</f>
        <v>Europe centrale et orientale</v>
      </c>
      <c r="C195" s="1" t="s">
        <v>341</v>
      </c>
      <c r="D195" s="1">
        <v>2024</v>
      </c>
      <c r="E195" s="7">
        <v>38539</v>
      </c>
      <c r="F195" s="7">
        <v>961</v>
      </c>
      <c r="G195" s="4">
        <v>2.4935779340408418E-2</v>
      </c>
    </row>
    <row r="196" spans="1:7" x14ac:dyDescent="0.3">
      <c r="A196" s="1" t="s">
        <v>530</v>
      </c>
      <c r="B196" s="1" t="str">
        <f>VLOOKUP(C196,'Code ONU'!$C$1:$E$231,3,FALSE)</f>
        <v>Océanie</v>
      </c>
      <c r="C196" s="1" t="s">
        <v>167</v>
      </c>
      <c r="D196" s="1">
        <v>2024</v>
      </c>
      <c r="E196" s="7">
        <v>282</v>
      </c>
      <c r="F196" s="7">
        <v>275</v>
      </c>
      <c r="G196" s="4">
        <v>0.97517730496453903</v>
      </c>
    </row>
    <row r="197" spans="1:7" x14ac:dyDescent="0.3">
      <c r="A197" s="1" t="s">
        <v>342</v>
      </c>
      <c r="B197" s="1" t="str">
        <f>VLOOKUP(C197,'Code ONU'!$C$1:$E$231,3,FALSE)</f>
        <v>Europe occidentale</v>
      </c>
      <c r="C197" s="1" t="s">
        <v>343</v>
      </c>
      <c r="D197" s="1">
        <v>2024</v>
      </c>
      <c r="E197" s="7">
        <v>10425</v>
      </c>
      <c r="F197" s="7">
        <v>2543</v>
      </c>
      <c r="G197" s="4">
        <v>0.24393285371702639</v>
      </c>
    </row>
    <row r="198" spans="1:7" x14ac:dyDescent="0.3">
      <c r="A198" s="1" t="s">
        <v>346</v>
      </c>
      <c r="B198" s="1" t="str">
        <f>VLOOKUP(C198,'Code ONU'!$C$1:$E$231,3,FALSE)</f>
        <v>Moyen-Orient</v>
      </c>
      <c r="C198" s="1" t="s">
        <v>347</v>
      </c>
      <c r="D198" s="1">
        <v>2024</v>
      </c>
      <c r="E198" s="7">
        <v>3048</v>
      </c>
      <c r="F198" s="7">
        <v>130</v>
      </c>
      <c r="G198" s="4">
        <v>4.2650918635170607E-2</v>
      </c>
    </row>
    <row r="199" spans="1:7" x14ac:dyDescent="0.3">
      <c r="A199" s="1" t="s">
        <v>518</v>
      </c>
      <c r="B199" s="1" t="str">
        <f>VLOOKUP(C199,'Code ONU'!$C$1:$E$231,3,FALSE)</f>
        <v>Caraïbes</v>
      </c>
      <c r="C199" s="1" t="s">
        <v>137</v>
      </c>
      <c r="D199" s="1">
        <v>2024</v>
      </c>
      <c r="E199" s="7">
        <v>11428</v>
      </c>
      <c r="F199" s="7">
        <v>164</v>
      </c>
      <c r="G199" s="4">
        <v>1.4350717535876793E-2</v>
      </c>
    </row>
    <row r="200" spans="1:7" x14ac:dyDescent="0.3">
      <c r="A200" s="1" t="s">
        <v>641</v>
      </c>
      <c r="B200" s="1" t="str">
        <f>VLOOKUP(C200,'Code ONU'!$C$1:$E$231,3,FALSE)</f>
        <v>Europe centrale et orientale</v>
      </c>
      <c r="C200" s="1" t="s">
        <v>125</v>
      </c>
      <c r="D200" s="1">
        <v>2024</v>
      </c>
      <c r="E200" s="7">
        <v>10736</v>
      </c>
      <c r="F200" s="7">
        <v>253</v>
      </c>
      <c r="G200" s="4">
        <v>2.3565573770491802E-2</v>
      </c>
    </row>
    <row r="201" spans="1:7" x14ac:dyDescent="0.3">
      <c r="A201" s="1" t="s">
        <v>351</v>
      </c>
      <c r="B201" s="1" t="str">
        <f>VLOOKUP(C201,'Code ONU'!$C$1:$E$231,3,FALSE)</f>
        <v>Afrique australe et Océan Indien</v>
      </c>
      <c r="C201" s="1" t="s">
        <v>352</v>
      </c>
      <c r="D201" s="1">
        <v>2024</v>
      </c>
      <c r="E201" s="7">
        <v>879</v>
      </c>
      <c r="F201" s="7">
        <v>773</v>
      </c>
      <c r="G201" s="4">
        <v>0.87940841865756536</v>
      </c>
    </row>
    <row r="202" spans="1:7" x14ac:dyDescent="0.3">
      <c r="A202" s="1" t="s">
        <v>586</v>
      </c>
      <c r="B202" s="1" t="str">
        <f>VLOOKUP(C202,'Code ONU'!$C$1:$E$231,3,FALSE)</f>
        <v>Europe centrale et orientale</v>
      </c>
      <c r="C202" s="1" t="s">
        <v>354</v>
      </c>
      <c r="D202" s="1">
        <v>2024</v>
      </c>
      <c r="E202" s="7">
        <v>19015</v>
      </c>
      <c r="F202" s="7">
        <v>1957</v>
      </c>
      <c r="G202" s="4">
        <v>0.1029187483565606</v>
      </c>
    </row>
    <row r="203" spans="1:7" x14ac:dyDescent="0.3">
      <c r="A203" s="1" t="s">
        <v>623</v>
      </c>
      <c r="B203" s="1" t="str">
        <f>VLOOKUP(C203,'Code ONU'!$C$1:$E$231,3,FALSE)</f>
        <v>Europe occidentale</v>
      </c>
      <c r="C203" s="1" t="s">
        <v>450</v>
      </c>
      <c r="D203" s="1">
        <v>2024</v>
      </c>
      <c r="E203" s="7">
        <v>69138</v>
      </c>
      <c r="F203" s="7">
        <v>11441</v>
      </c>
      <c r="G203" s="4">
        <v>0.1654806329370245</v>
      </c>
    </row>
    <row r="204" spans="1:7" x14ac:dyDescent="0.3">
      <c r="A204" s="1" t="s">
        <v>357</v>
      </c>
      <c r="B204" s="1" t="str">
        <f>VLOOKUP(C204,'Code ONU'!$C$1:$E$231,3,FALSE)</f>
        <v>Afrique de l'Est</v>
      </c>
      <c r="C204" s="1" t="s">
        <v>358</v>
      </c>
      <c r="D204" s="1">
        <v>2024</v>
      </c>
      <c r="E204" s="7">
        <v>14257</v>
      </c>
      <c r="F204" s="7">
        <v>732</v>
      </c>
      <c r="G204" s="4">
        <v>5.1343199831661641E-2</v>
      </c>
    </row>
    <row r="205" spans="1:7" x14ac:dyDescent="0.3">
      <c r="A205" s="1" t="s">
        <v>588</v>
      </c>
      <c r="B205" s="1" t="str">
        <f>VLOOKUP(C205,'Code ONU'!$C$1:$E$231,3,FALSE)</f>
        <v>Caraïbes</v>
      </c>
      <c r="C205" s="1" t="s">
        <v>360</v>
      </c>
      <c r="D205" s="1">
        <v>2024</v>
      </c>
      <c r="E205" s="7">
        <v>11</v>
      </c>
      <c r="F205" s="7">
        <v>9</v>
      </c>
      <c r="G205" s="4">
        <v>0.81818181818181823</v>
      </c>
    </row>
    <row r="206" spans="1:7" x14ac:dyDescent="0.3">
      <c r="A206" s="1" t="s">
        <v>591</v>
      </c>
      <c r="B206" s="1" t="str">
        <f>VLOOKUP(C206,'Code ONU'!$C$1:$E$231,3,FALSE)</f>
        <v>Caraïbes</v>
      </c>
      <c r="C206" s="1" t="s">
        <v>366</v>
      </c>
      <c r="D206" s="1">
        <v>2024</v>
      </c>
      <c r="E206" s="7">
        <v>180</v>
      </c>
      <c r="F206" s="7">
        <v>3</v>
      </c>
      <c r="G206" s="4">
        <v>1.6666666666666666E-2</v>
      </c>
    </row>
    <row r="207" spans="1:7" x14ac:dyDescent="0.3">
      <c r="A207" s="1" t="s">
        <v>593</v>
      </c>
      <c r="B207" s="1" t="str">
        <f>VLOOKUP(C207,'Code ONU'!$C$1:$E$231,3,FALSE)</f>
        <v>Amériques</v>
      </c>
      <c r="C207" s="1" t="s">
        <v>370</v>
      </c>
      <c r="D207" s="1">
        <v>2024</v>
      </c>
      <c r="E207" s="7">
        <v>6</v>
      </c>
      <c r="F207" s="7">
        <v>6</v>
      </c>
      <c r="G207" s="4">
        <v>1</v>
      </c>
    </row>
    <row r="208" spans="1:7" x14ac:dyDescent="0.3">
      <c r="A208" s="1" t="s">
        <v>595</v>
      </c>
      <c r="B208" s="1" t="str">
        <f>VLOOKUP(C208,'Code ONU'!$C$1:$E$231,3,FALSE)</f>
        <v>Afrique centrale</v>
      </c>
      <c r="C208" s="1" t="s">
        <v>376</v>
      </c>
      <c r="D208" s="1">
        <v>2024</v>
      </c>
      <c r="E208" s="7">
        <v>236</v>
      </c>
      <c r="F208" s="7">
        <v>48</v>
      </c>
      <c r="G208" s="4">
        <v>0.20338983050847459</v>
      </c>
    </row>
    <row r="209" spans="1:7" x14ac:dyDescent="0.3">
      <c r="A209" s="1" t="s">
        <v>597</v>
      </c>
      <c r="B209" s="1" t="str">
        <f>VLOOKUP(C209,'Code ONU'!$C$1:$E$231,3,FALSE)</f>
        <v>Afrique de l'Ouest</v>
      </c>
      <c r="C209" s="1" t="s">
        <v>380</v>
      </c>
      <c r="D209" s="1">
        <v>2024</v>
      </c>
      <c r="E209" s="7">
        <v>18502</v>
      </c>
      <c r="F209" s="7">
        <v>5130</v>
      </c>
      <c r="G209" s="4">
        <v>0.27726732245162683</v>
      </c>
    </row>
    <row r="210" spans="1:7" x14ac:dyDescent="0.3">
      <c r="A210" s="1" t="s">
        <v>598</v>
      </c>
      <c r="B210" s="1" t="str">
        <f>VLOOKUP(C210,'Code ONU'!$C$1:$E$231,3,FALSE)</f>
        <v>Europe centrale et orientale</v>
      </c>
      <c r="C210" s="1" t="s">
        <v>382</v>
      </c>
      <c r="D210" s="1">
        <v>2024</v>
      </c>
      <c r="E210" s="7">
        <v>6736</v>
      </c>
      <c r="F210" s="7">
        <v>558</v>
      </c>
      <c r="G210" s="4">
        <v>8.2838479809976245E-2</v>
      </c>
    </row>
    <row r="211" spans="1:7" x14ac:dyDescent="0.3">
      <c r="A211" s="1" t="s">
        <v>383</v>
      </c>
      <c r="B211" s="1" t="str">
        <f>VLOOKUP(C211,'Code ONU'!$C$1:$E$231,3,FALSE)</f>
        <v>Afrique australe et Océan Indien</v>
      </c>
      <c r="C211" s="1" t="s">
        <v>384</v>
      </c>
      <c r="D211" s="1">
        <v>2024</v>
      </c>
      <c r="E211" s="7">
        <v>130</v>
      </c>
      <c r="F211" s="7">
        <v>69</v>
      </c>
      <c r="G211" s="4">
        <v>0.53076923076923077</v>
      </c>
    </row>
    <row r="212" spans="1:7" x14ac:dyDescent="0.3">
      <c r="A212" s="1" t="s">
        <v>601</v>
      </c>
      <c r="B212" s="1" t="str">
        <f>VLOOKUP(C212,'Code ONU'!$C$1:$E$231,3,FALSE)</f>
        <v>Europe centrale et orientale</v>
      </c>
      <c r="C212" s="1" t="s">
        <v>392</v>
      </c>
      <c r="D212" s="1">
        <v>2024</v>
      </c>
      <c r="E212" s="7">
        <v>5507</v>
      </c>
      <c r="F212" s="7">
        <v>98</v>
      </c>
      <c r="G212" s="4">
        <v>1.7795532958053386E-2</v>
      </c>
    </row>
    <row r="213" spans="1:7" x14ac:dyDescent="0.3">
      <c r="A213" s="1" t="s">
        <v>602</v>
      </c>
      <c r="B213" s="1" t="str">
        <f>VLOOKUP(C213,'Code ONU'!$C$1:$E$231,3,FALSE)</f>
        <v>Europe centrale et orientale</v>
      </c>
      <c r="C213" s="1" t="s">
        <v>394</v>
      </c>
      <c r="D213" s="1">
        <v>2024</v>
      </c>
      <c r="E213" s="7">
        <v>2119</v>
      </c>
      <c r="F213" s="7">
        <v>87</v>
      </c>
      <c r="G213" s="4">
        <v>4.1057102406795658E-2</v>
      </c>
    </row>
    <row r="214" spans="1:7" x14ac:dyDescent="0.3">
      <c r="A214" s="1" t="s">
        <v>610</v>
      </c>
      <c r="B214" s="1" t="str">
        <f>VLOOKUP(C214,'Code ONU'!$C$1:$E$231,3,FALSE)</f>
        <v>Europe occidentale</v>
      </c>
      <c r="C214" s="1" t="s">
        <v>414</v>
      </c>
      <c r="D214" s="1">
        <v>2024</v>
      </c>
      <c r="E214" s="7">
        <v>10607</v>
      </c>
      <c r="F214" s="7">
        <v>749</v>
      </c>
      <c r="G214" s="4">
        <v>7.0613745639671918E-2</v>
      </c>
    </row>
    <row r="215" spans="1:7" x14ac:dyDescent="0.3">
      <c r="A215" s="1" t="s">
        <v>611</v>
      </c>
      <c r="B215" s="1" t="str">
        <f>VLOOKUP(C215,'Code ONU'!$C$1:$E$231,3,FALSE)</f>
        <v>Europe occidentale</v>
      </c>
      <c r="C215" s="1" t="s">
        <v>416</v>
      </c>
      <c r="D215" s="1">
        <v>2024</v>
      </c>
      <c r="E215" s="7">
        <v>8922</v>
      </c>
      <c r="F215" s="7">
        <v>6007</v>
      </c>
      <c r="G215" s="4">
        <v>0.67327953373683036</v>
      </c>
    </row>
    <row r="216" spans="1:7" x14ac:dyDescent="0.3">
      <c r="A216" s="1" t="s">
        <v>502</v>
      </c>
      <c r="B216" s="1" t="str">
        <f>VLOOKUP(C216,'Code ONU'!$C$1:$E$231,3,FALSE)</f>
        <v>Afrique centrale</v>
      </c>
      <c r="C216" s="1" t="s">
        <v>95</v>
      </c>
      <c r="D216" s="1">
        <v>2024</v>
      </c>
      <c r="E216" s="7">
        <v>20299</v>
      </c>
      <c r="F216" s="7">
        <v>2603</v>
      </c>
      <c r="G216" s="4">
        <v>0.12823291787772798</v>
      </c>
    </row>
    <row r="217" spans="1:7" x14ac:dyDescent="0.3">
      <c r="A217" s="1" t="s">
        <v>614</v>
      </c>
      <c r="B217" s="1" t="str">
        <f>VLOOKUP(C217,'Code ONU'!$C$1:$E$231,3,FALSE)</f>
        <v>Asie</v>
      </c>
      <c r="C217" s="1" t="s">
        <v>422</v>
      </c>
      <c r="D217" s="1">
        <v>2024</v>
      </c>
      <c r="E217" s="7">
        <v>71668</v>
      </c>
      <c r="F217" s="7">
        <v>591</v>
      </c>
      <c r="G217" s="4">
        <v>8.2463582072891672E-3</v>
      </c>
    </row>
    <row r="218" spans="1:7" x14ac:dyDescent="0.3">
      <c r="A218" s="1" t="s">
        <v>425</v>
      </c>
      <c r="B218" s="1" t="str">
        <f>VLOOKUP(C218,'Code ONU'!$C$1:$E$231,3,FALSE)</f>
        <v>Afrique de l'Ouest</v>
      </c>
      <c r="C218" s="1" t="s">
        <v>426</v>
      </c>
      <c r="D218" s="1">
        <v>2024</v>
      </c>
      <c r="E218" s="7">
        <v>9515</v>
      </c>
      <c r="F218" s="7">
        <v>3913</v>
      </c>
      <c r="G218" s="4">
        <v>0.41124540199684706</v>
      </c>
    </row>
    <row r="219" spans="1:7" x14ac:dyDescent="0.3">
      <c r="A219" s="1" t="s">
        <v>617</v>
      </c>
      <c r="B219" s="1" t="str">
        <f>VLOOKUP(C219,'Code ONU'!$C$1:$E$231,3,FALSE)</f>
        <v>Afrique du Nord</v>
      </c>
      <c r="C219" s="1" t="s">
        <v>434</v>
      </c>
      <c r="D219" s="1">
        <v>2024</v>
      </c>
      <c r="E219" s="7">
        <v>12277</v>
      </c>
      <c r="F219" s="7">
        <v>6520</v>
      </c>
      <c r="G219" s="4">
        <v>0.53107436670196306</v>
      </c>
    </row>
    <row r="220" spans="1:7" x14ac:dyDescent="0.3">
      <c r="A220" s="1" t="s">
        <v>618</v>
      </c>
      <c r="B220" s="1" t="str">
        <f>VLOOKUP(C220,'Code ONU'!$C$1:$E$231,3,FALSE)</f>
        <v>Moyen-Orient</v>
      </c>
      <c r="C220" s="1" t="s">
        <v>436</v>
      </c>
      <c r="D220" s="1">
        <v>2024</v>
      </c>
      <c r="E220" s="7">
        <v>87474</v>
      </c>
      <c r="F220" s="7">
        <v>575</v>
      </c>
      <c r="G220" s="4">
        <v>6.5733818048791639E-3</v>
      </c>
    </row>
    <row r="221" spans="1:7" x14ac:dyDescent="0.3">
      <c r="A221" s="1" t="s">
        <v>445</v>
      </c>
      <c r="B221" s="1" t="str">
        <f>VLOOKUP(C221,'Code ONU'!$C$1:$E$231,3,FALSE)</f>
        <v>Europe centrale et orientale</v>
      </c>
      <c r="C221" s="1" t="s">
        <v>446</v>
      </c>
      <c r="D221" s="1">
        <v>2024</v>
      </c>
      <c r="E221" s="7">
        <v>37860</v>
      </c>
      <c r="F221" s="7">
        <v>46</v>
      </c>
      <c r="G221" s="4">
        <v>1.2150026413100899E-3</v>
      </c>
    </row>
    <row r="222" spans="1:7" x14ac:dyDescent="0.3">
      <c r="A222" s="1" t="s">
        <v>457</v>
      </c>
      <c r="B222" s="1" t="str">
        <f>VLOOKUP(C222,'Code ONU'!$C$1:$E$231,3,FALSE)</f>
        <v>Amériques</v>
      </c>
      <c r="C222" s="1" t="s">
        <v>458</v>
      </c>
      <c r="D222" s="1">
        <v>2024</v>
      </c>
      <c r="E222" s="7">
        <v>3387</v>
      </c>
      <c r="F222" s="7">
        <v>5</v>
      </c>
      <c r="G222" s="4">
        <v>1.4762326542663124E-3</v>
      </c>
    </row>
    <row r="223" spans="1:7" x14ac:dyDescent="0.3">
      <c r="A223" s="1" t="s">
        <v>461</v>
      </c>
      <c r="B223" s="1" t="str">
        <f>VLOOKUP(C223,'Code ONU'!$C$1:$E$231,3,FALSE)</f>
        <v>Océanie</v>
      </c>
      <c r="C223" s="1" t="s">
        <v>462</v>
      </c>
      <c r="D223" s="1">
        <v>2024</v>
      </c>
      <c r="E223" s="7">
        <v>328</v>
      </c>
      <c r="F223" s="7">
        <v>79</v>
      </c>
      <c r="G223" s="4">
        <v>0.24085365853658536</v>
      </c>
    </row>
    <row r="224" spans="1:7" x14ac:dyDescent="0.3">
      <c r="A224" s="1" t="s">
        <v>465</v>
      </c>
      <c r="B224" s="1" t="str">
        <f>VLOOKUP(C224,'Code ONU'!$C$1:$E$231,3,FALSE)</f>
        <v>Asie</v>
      </c>
      <c r="C224" s="1" t="s">
        <v>466</v>
      </c>
      <c r="D224" s="1">
        <v>2024</v>
      </c>
      <c r="E224" s="7">
        <v>100988</v>
      </c>
      <c r="F224" s="7">
        <v>707</v>
      </c>
      <c r="G224" s="4">
        <v>7.0008317819939001E-3</v>
      </c>
    </row>
    <row r="225" spans="1:7" x14ac:dyDescent="0.3">
      <c r="A225" s="1" t="s">
        <v>475</v>
      </c>
      <c r="B225" s="1" t="str">
        <f>VLOOKUP(C225,'Code ONU'!$C$1:$E$231,3,FALSE)</f>
        <v>Europe centrale et orientale</v>
      </c>
      <c r="C225" s="1" t="s">
        <v>8</v>
      </c>
      <c r="D225" s="1">
        <v>2022</v>
      </c>
      <c r="E225" s="7">
        <v>2834</v>
      </c>
      <c r="F225" s="7">
        <v>29</v>
      </c>
      <c r="G225" s="4">
        <v>1.0232886379675371E-2</v>
      </c>
    </row>
    <row r="226" spans="1:7" x14ac:dyDescent="0.3">
      <c r="A226" s="1" t="s">
        <v>476</v>
      </c>
      <c r="B226" s="1" t="str">
        <f>VLOOKUP(C226,'Code ONU'!$C$1:$E$231,3,FALSE)</f>
        <v>Afrique du Nord</v>
      </c>
      <c r="C226" s="1" t="s">
        <v>11</v>
      </c>
      <c r="D226" s="1">
        <v>2022</v>
      </c>
      <c r="E226" s="7">
        <v>45123</v>
      </c>
      <c r="F226" s="7">
        <v>14828</v>
      </c>
      <c r="G226" s="4">
        <v>0.32861290251091463</v>
      </c>
    </row>
    <row r="227" spans="1:7" x14ac:dyDescent="0.3">
      <c r="A227" s="1" t="s">
        <v>533</v>
      </c>
      <c r="B227" s="1" t="str">
        <f>VLOOKUP(C227,'Code ONU'!$C$1:$E$231,3,FALSE)</f>
        <v>Europe occidentale</v>
      </c>
      <c r="C227" s="1" t="s">
        <v>175</v>
      </c>
      <c r="D227" s="1">
        <v>2022</v>
      </c>
      <c r="E227" s="7">
        <v>83772</v>
      </c>
      <c r="F227" s="7">
        <v>12281</v>
      </c>
      <c r="G227" s="4">
        <v>0.14660029604163682</v>
      </c>
    </row>
    <row r="228" spans="1:7" x14ac:dyDescent="0.3">
      <c r="A228" s="1" t="s">
        <v>478</v>
      </c>
      <c r="B228" s="1" t="str">
        <f>VLOOKUP(C228,'Code ONU'!$C$1:$E$231,3,FALSE)</f>
        <v>Europe occidentale</v>
      </c>
      <c r="C228" s="1" t="s">
        <v>17</v>
      </c>
      <c r="D228" s="1">
        <v>2022</v>
      </c>
      <c r="E228" s="7">
        <v>79</v>
      </c>
      <c r="F228" s="7">
        <v>55</v>
      </c>
      <c r="G228" s="4">
        <v>0.69620253164556967</v>
      </c>
    </row>
    <row r="229" spans="1:7" x14ac:dyDescent="0.3">
      <c r="A229" s="1" t="s">
        <v>481</v>
      </c>
      <c r="B229" s="1" t="str">
        <f>VLOOKUP(C229,'Code ONU'!$C$1:$E$231,3,FALSE)</f>
        <v>Moyen-Orient</v>
      </c>
      <c r="C229" s="1" t="s">
        <v>31</v>
      </c>
      <c r="D229" s="1">
        <v>2022</v>
      </c>
      <c r="E229" s="7">
        <v>2859</v>
      </c>
      <c r="F229" s="7">
        <v>10</v>
      </c>
      <c r="G229" s="4">
        <v>3.497726477789437E-3</v>
      </c>
    </row>
    <row r="230" spans="1:7" x14ac:dyDescent="0.3">
      <c r="A230" s="1" t="s">
        <v>483</v>
      </c>
      <c r="B230" s="1" t="str">
        <f>VLOOKUP(C230,'Code ONU'!$C$1:$E$231,3,FALSE)</f>
        <v>Europe occidentale</v>
      </c>
      <c r="C230" s="1" t="s">
        <v>38</v>
      </c>
      <c r="D230" s="1">
        <v>2022</v>
      </c>
      <c r="E230" s="7">
        <v>8993</v>
      </c>
      <c r="F230" s="7">
        <v>1157</v>
      </c>
      <c r="G230" s="4">
        <v>0.12865562103858558</v>
      </c>
    </row>
    <row r="231" spans="1:7" x14ac:dyDescent="0.3">
      <c r="A231" s="1" t="s">
        <v>488</v>
      </c>
      <c r="B231" s="1" t="str">
        <f>VLOOKUP(C231,'Code ONU'!$C$1:$E$231,3,FALSE)</f>
        <v>Europe occidentale</v>
      </c>
      <c r="C231" s="1" t="s">
        <v>52</v>
      </c>
      <c r="D231" s="1">
        <v>2022</v>
      </c>
      <c r="E231" s="7">
        <v>11586</v>
      </c>
      <c r="F231" s="7">
        <v>8753</v>
      </c>
      <c r="G231" s="4">
        <v>0.75548075263248748</v>
      </c>
    </row>
    <row r="232" spans="1:7" x14ac:dyDescent="0.3">
      <c r="A232" s="1" t="s">
        <v>489</v>
      </c>
      <c r="B232" s="1" t="str">
        <f>VLOOKUP(C232,'Code ONU'!$C$1:$E$231,3,FALSE)</f>
        <v>Afrique de l'Ouest</v>
      </c>
      <c r="C232" s="1" t="s">
        <v>56</v>
      </c>
      <c r="D232" s="1">
        <v>2022</v>
      </c>
      <c r="E232" s="7">
        <v>13585</v>
      </c>
      <c r="F232" s="7">
        <v>4575</v>
      </c>
      <c r="G232" s="4">
        <v>0.3367684946632315</v>
      </c>
    </row>
    <row r="233" spans="1:7" x14ac:dyDescent="0.3">
      <c r="A233" s="1" t="s">
        <v>493</v>
      </c>
      <c r="B233" s="1" t="str">
        <f>VLOOKUP(C233,'Code ONU'!$C$1:$E$231,3,FALSE)</f>
        <v>Europe centrale et orientale</v>
      </c>
      <c r="C233" s="1" t="s">
        <v>65</v>
      </c>
      <c r="D233" s="1">
        <v>2022</v>
      </c>
      <c r="E233" s="7">
        <v>3215</v>
      </c>
      <c r="F233" s="7">
        <v>26</v>
      </c>
      <c r="G233" s="4">
        <v>8.0870917573872478E-3</v>
      </c>
    </row>
    <row r="234" spans="1:7" x14ac:dyDescent="0.3">
      <c r="A234" s="1" t="s">
        <v>497</v>
      </c>
      <c r="B234" s="1" t="str">
        <f>VLOOKUP(C234,'Code ONU'!$C$1:$E$231,3,FALSE)</f>
        <v>Europe centrale et orientale</v>
      </c>
      <c r="C234" s="1" t="s">
        <v>76</v>
      </c>
      <c r="D234" s="1">
        <v>2022</v>
      </c>
      <c r="E234" s="7">
        <v>6838</v>
      </c>
      <c r="F234" s="7">
        <v>159</v>
      </c>
      <c r="G234" s="4">
        <v>2.3252412986253291E-2</v>
      </c>
    </row>
    <row r="235" spans="1:7" x14ac:dyDescent="0.3">
      <c r="A235" s="1" t="s">
        <v>77</v>
      </c>
      <c r="B235" s="1" t="str">
        <f>VLOOKUP(C235,'Code ONU'!$C$1:$E$231,3,FALSE)</f>
        <v>Afrique de l'Ouest</v>
      </c>
      <c r="C235" s="1" t="s">
        <v>78</v>
      </c>
      <c r="D235" s="1">
        <v>2022</v>
      </c>
      <c r="E235" s="7">
        <v>22252</v>
      </c>
      <c r="F235" s="7">
        <v>5441</v>
      </c>
      <c r="G235" s="4">
        <v>0.24451734675534784</v>
      </c>
    </row>
    <row r="236" spans="1:7" x14ac:dyDescent="0.3">
      <c r="A236" s="1" t="s">
        <v>79</v>
      </c>
      <c r="B236" s="1" t="str">
        <f>VLOOKUP(C236,'Code ONU'!$C$1:$E$231,3,FALSE)</f>
        <v>Afrique de l'Est</v>
      </c>
      <c r="C236" s="1" t="s">
        <v>80</v>
      </c>
      <c r="D236" s="1">
        <v>2022</v>
      </c>
      <c r="E236" s="7">
        <v>13138</v>
      </c>
      <c r="F236" s="7">
        <v>1117</v>
      </c>
      <c r="G236" s="4">
        <v>8.5020551073222719E-2</v>
      </c>
    </row>
    <row r="237" spans="1:7" x14ac:dyDescent="0.3">
      <c r="A237" s="1" t="s">
        <v>82</v>
      </c>
      <c r="B237" s="1" t="str">
        <f>VLOOKUP(C237,'Code ONU'!$C$1:$E$231,3,FALSE)</f>
        <v>Afrique de l'Ouest</v>
      </c>
      <c r="C237" s="1" t="s">
        <v>83</v>
      </c>
      <c r="D237" s="1">
        <v>2022</v>
      </c>
      <c r="E237" s="7">
        <v>518</v>
      </c>
      <c r="F237" s="7">
        <v>56</v>
      </c>
      <c r="G237" s="4">
        <v>0.10810810810810811</v>
      </c>
    </row>
    <row r="238" spans="1:7" x14ac:dyDescent="0.3">
      <c r="A238" s="1" t="s">
        <v>498</v>
      </c>
      <c r="B238" s="1" t="str">
        <f>VLOOKUP(C238,'Code ONU'!$C$1:$E$231,3,FALSE)</f>
        <v>Asie</v>
      </c>
      <c r="C238" s="1" t="s">
        <v>85</v>
      </c>
      <c r="D238" s="1">
        <v>2022</v>
      </c>
      <c r="E238" s="7">
        <v>17089</v>
      </c>
      <c r="F238" s="7">
        <v>461</v>
      </c>
      <c r="G238" s="4">
        <v>2.6976417578559307E-2</v>
      </c>
    </row>
    <row r="239" spans="1:7" x14ac:dyDescent="0.3">
      <c r="A239" s="1" t="s">
        <v>499</v>
      </c>
      <c r="B239" s="1" t="str">
        <f>VLOOKUP(C239,'Code ONU'!$C$1:$E$231,3,FALSE)</f>
        <v>Afrique centrale</v>
      </c>
      <c r="C239" s="1" t="s">
        <v>87</v>
      </c>
      <c r="D239" s="1">
        <v>2022</v>
      </c>
      <c r="E239" s="7">
        <v>27268</v>
      </c>
      <c r="F239" s="7">
        <v>11226</v>
      </c>
      <c r="G239" s="4">
        <v>0.41169135983570487</v>
      </c>
    </row>
    <row r="240" spans="1:7" x14ac:dyDescent="0.3">
      <c r="A240" s="1" t="s">
        <v>88</v>
      </c>
      <c r="B240" s="1" t="str">
        <f>VLOOKUP(C240,'Code ONU'!$C$1:$E$231,3,FALSE)</f>
        <v>Amériques</v>
      </c>
      <c r="C240" s="1" t="s">
        <v>89</v>
      </c>
      <c r="D240" s="1">
        <v>2022</v>
      </c>
      <c r="E240" s="7">
        <v>38583</v>
      </c>
      <c r="F240" s="7">
        <v>11027</v>
      </c>
      <c r="G240" s="4">
        <v>0.2857994453515797</v>
      </c>
    </row>
    <row r="241" spans="1:7" x14ac:dyDescent="0.3">
      <c r="A241" s="1" t="s">
        <v>501</v>
      </c>
      <c r="B241" s="1" t="str">
        <f>VLOOKUP(C241,'Code ONU'!$C$1:$E$231,3,FALSE)</f>
        <v>Afrique centrale</v>
      </c>
      <c r="C241" s="1" t="s">
        <v>93</v>
      </c>
      <c r="D241" s="1">
        <v>2022</v>
      </c>
      <c r="E241" s="7">
        <v>5131</v>
      </c>
      <c r="F241" s="7">
        <v>1468</v>
      </c>
      <c r="G241" s="4">
        <v>0.28610407328006238</v>
      </c>
    </row>
    <row r="242" spans="1:7" x14ac:dyDescent="0.3">
      <c r="A242" s="1" t="s">
        <v>512</v>
      </c>
      <c r="B242" s="1" t="str">
        <f>VLOOKUP(C242,'Code ONU'!$C$1:$E$231,3,FALSE)</f>
        <v>Moyen-Orient</v>
      </c>
      <c r="C242" s="1" t="s">
        <v>123</v>
      </c>
      <c r="D242" s="1">
        <v>2022</v>
      </c>
      <c r="E242" s="7">
        <v>1325</v>
      </c>
      <c r="F242" s="7">
        <v>87</v>
      </c>
      <c r="G242" s="4">
        <v>6.5660377358490563E-2</v>
      </c>
    </row>
    <row r="243" spans="1:7" x14ac:dyDescent="0.3">
      <c r="A243" s="1" t="s">
        <v>507</v>
      </c>
      <c r="B243" s="1" t="str">
        <f>VLOOKUP(C243,'Code ONU'!$C$1:$E$231,3,FALSE)</f>
        <v>Amériques</v>
      </c>
      <c r="C243" s="1" t="s">
        <v>105</v>
      </c>
      <c r="D243" s="1">
        <v>2022</v>
      </c>
      <c r="E243" s="7">
        <v>51443</v>
      </c>
      <c r="F243" s="7">
        <v>5</v>
      </c>
      <c r="G243" s="4">
        <v>9.7194953638007108E-5</v>
      </c>
    </row>
    <row r="244" spans="1:7" x14ac:dyDescent="0.3">
      <c r="A244" s="1" t="s">
        <v>508</v>
      </c>
      <c r="B244" s="1" t="str">
        <f>VLOOKUP(C244,'Code ONU'!$C$1:$E$231,3,FALSE)</f>
        <v>Afrique australe et Océan Indien</v>
      </c>
      <c r="C244" s="1" t="s">
        <v>107</v>
      </c>
      <c r="D244" s="1">
        <v>2022</v>
      </c>
      <c r="E244" s="7">
        <v>826</v>
      </c>
      <c r="F244" s="7">
        <v>216</v>
      </c>
      <c r="G244" s="4">
        <v>0.26150121065375304</v>
      </c>
    </row>
    <row r="245" spans="1:7" x14ac:dyDescent="0.3">
      <c r="A245" s="1" t="s">
        <v>108</v>
      </c>
      <c r="B245" s="1" t="str">
        <f>VLOOKUP(C245,'Code ONU'!$C$1:$E$231,3,FALSE)</f>
        <v>Afrique centrale</v>
      </c>
      <c r="C245" s="1" t="s">
        <v>109</v>
      </c>
      <c r="D245" s="1">
        <v>2022</v>
      </c>
      <c r="E245" s="7">
        <v>5962</v>
      </c>
      <c r="F245" s="7">
        <v>3618</v>
      </c>
      <c r="G245" s="4">
        <v>0.60684334116068428</v>
      </c>
    </row>
    <row r="246" spans="1:7" x14ac:dyDescent="0.3">
      <c r="A246" s="1" t="s">
        <v>515</v>
      </c>
      <c r="B246" s="1" t="str">
        <f>VLOOKUP(C246,'Code ONU'!$C$1:$E$231,3,FALSE)</f>
        <v>Afrique centrale</v>
      </c>
      <c r="C246" s="1" t="s">
        <v>129</v>
      </c>
      <c r="D246" s="1">
        <v>2022</v>
      </c>
      <c r="E246" s="7">
        <v>100731</v>
      </c>
      <c r="F246" s="7">
        <v>51745</v>
      </c>
      <c r="G246" s="4">
        <v>0.51369489035153026</v>
      </c>
    </row>
    <row r="247" spans="1:7" x14ac:dyDescent="0.3">
      <c r="A247" s="1" t="s">
        <v>112</v>
      </c>
      <c r="B247" s="1" t="str">
        <f>VLOOKUP(C247,'Code ONU'!$C$1:$E$231,3,FALSE)</f>
        <v>Amériques</v>
      </c>
      <c r="C247" s="1" t="s">
        <v>113</v>
      </c>
      <c r="D247" s="1">
        <v>2022</v>
      </c>
      <c r="E247" s="7">
        <v>5071</v>
      </c>
      <c r="F247" s="7">
        <v>5</v>
      </c>
      <c r="G247" s="4">
        <v>9.8599881680141977E-4</v>
      </c>
    </row>
    <row r="248" spans="1:7" x14ac:dyDescent="0.3">
      <c r="A248" s="1" t="s">
        <v>510</v>
      </c>
      <c r="B248" s="1" t="str">
        <f>VLOOKUP(C248,'Code ONU'!$C$1:$E$231,3,FALSE)</f>
        <v>Afrique de l'Ouest</v>
      </c>
      <c r="C248" s="1" t="s">
        <v>115</v>
      </c>
      <c r="D248" s="1">
        <v>2022</v>
      </c>
      <c r="E248" s="7">
        <v>30006</v>
      </c>
      <c r="F248" s="7">
        <v>10085</v>
      </c>
      <c r="G248" s="4">
        <v>0.33609944677731118</v>
      </c>
    </row>
    <row r="249" spans="1:7" x14ac:dyDescent="0.3">
      <c r="A249" s="1" t="s">
        <v>511</v>
      </c>
      <c r="B249" s="1" t="str">
        <f>VLOOKUP(C249,'Code ONU'!$C$1:$E$231,3,FALSE)</f>
        <v>Europe centrale et orientale</v>
      </c>
      <c r="C249" s="1" t="s">
        <v>117</v>
      </c>
      <c r="D249" s="1">
        <v>2022</v>
      </c>
      <c r="E249" s="7">
        <v>3911</v>
      </c>
      <c r="F249" s="7">
        <v>92</v>
      </c>
      <c r="G249" s="4">
        <v>2.3523395551009973E-2</v>
      </c>
    </row>
    <row r="250" spans="1:7" x14ac:dyDescent="0.3">
      <c r="A250" s="1" t="s">
        <v>516</v>
      </c>
      <c r="B250" s="1" t="str">
        <f>VLOOKUP(C250,'Code ONU'!$C$1:$E$231,3,FALSE)</f>
        <v>Europe occidentale</v>
      </c>
      <c r="C250" s="1" t="s">
        <v>131</v>
      </c>
      <c r="D250" s="1">
        <v>2022</v>
      </c>
      <c r="E250" s="7">
        <v>5873</v>
      </c>
      <c r="F250" s="7">
        <v>441</v>
      </c>
      <c r="G250" s="4">
        <v>7.508939213349225E-2</v>
      </c>
    </row>
    <row r="251" spans="1:7" x14ac:dyDescent="0.3">
      <c r="A251" s="1" t="s">
        <v>132</v>
      </c>
      <c r="B251" s="1" t="str">
        <f>VLOOKUP(C251,'Code ONU'!$C$1:$E$231,3,FALSE)</f>
        <v>Afrique de l'Est</v>
      </c>
      <c r="C251" s="1" t="s">
        <v>133</v>
      </c>
      <c r="D251" s="1">
        <v>2022</v>
      </c>
      <c r="E251" s="7">
        <v>1129</v>
      </c>
      <c r="F251" s="7">
        <v>565</v>
      </c>
      <c r="G251" s="4">
        <v>0.50044286979627994</v>
      </c>
    </row>
    <row r="252" spans="1:7" x14ac:dyDescent="0.3">
      <c r="A252" s="1" t="s">
        <v>517</v>
      </c>
      <c r="B252" s="1" t="str">
        <f>VLOOKUP(C252,'Code ONU'!$C$1:$E$231,3,FALSE)</f>
        <v>Caraïbes</v>
      </c>
      <c r="C252" s="1" t="s">
        <v>135</v>
      </c>
      <c r="D252" s="1">
        <v>2022</v>
      </c>
      <c r="E252" s="7">
        <v>67</v>
      </c>
      <c r="F252" s="7">
        <v>6</v>
      </c>
      <c r="G252" s="4">
        <v>8.9552238805970144E-2</v>
      </c>
    </row>
    <row r="253" spans="1:7" x14ac:dyDescent="0.3">
      <c r="A253" s="1" t="s">
        <v>520</v>
      </c>
      <c r="B253" s="1" t="str">
        <f>VLOOKUP(C253,'Code ONU'!$C$1:$E$231,3,FALSE)</f>
        <v>Afrique du Nord</v>
      </c>
      <c r="C253" s="1" t="s">
        <v>141</v>
      </c>
      <c r="D253" s="1">
        <v>2022</v>
      </c>
      <c r="E253" s="7">
        <v>111743</v>
      </c>
      <c r="F253" s="7">
        <v>3375</v>
      </c>
      <c r="G253" s="4">
        <v>3.0203234207064424E-2</v>
      </c>
    </row>
    <row r="254" spans="1:7" x14ac:dyDescent="0.3">
      <c r="A254" s="1" t="s">
        <v>639</v>
      </c>
      <c r="B254" s="1" t="str">
        <f>VLOOKUP(C254,'Code ONU'!$C$1:$E$231,3,FALSE)</f>
        <v>Moyen-Orient</v>
      </c>
      <c r="C254" s="1" t="s">
        <v>448</v>
      </c>
      <c r="D254" s="1">
        <v>2022</v>
      </c>
      <c r="E254" s="7">
        <v>10039</v>
      </c>
      <c r="F254" s="7">
        <v>263</v>
      </c>
      <c r="G254" s="4">
        <v>2.6197828468971014E-2</v>
      </c>
    </row>
    <row r="255" spans="1:7" x14ac:dyDescent="0.3">
      <c r="A255" s="1" t="s">
        <v>607</v>
      </c>
      <c r="B255" s="1" t="str">
        <f>VLOOKUP(C255,'Code ONU'!$C$1:$E$231,3,FALSE)</f>
        <v>Europe occidentale</v>
      </c>
      <c r="C255" s="1" t="s">
        <v>404</v>
      </c>
      <c r="D255" s="1">
        <v>2022</v>
      </c>
      <c r="E255" s="7">
        <v>47749</v>
      </c>
      <c r="F255" s="7">
        <v>5601</v>
      </c>
      <c r="G255" s="4">
        <v>0.11730088588242686</v>
      </c>
    </row>
    <row r="256" spans="1:7" x14ac:dyDescent="0.3">
      <c r="A256" s="1" t="s">
        <v>523</v>
      </c>
      <c r="B256" s="1" t="str">
        <f>VLOOKUP(C256,'Code ONU'!$C$1:$E$231,3,FALSE)</f>
        <v>Europe occidentale</v>
      </c>
      <c r="C256" s="1" t="s">
        <v>149</v>
      </c>
      <c r="D256" s="1">
        <v>2022</v>
      </c>
      <c r="E256" s="7">
        <v>1333</v>
      </c>
      <c r="F256" s="7">
        <v>19</v>
      </c>
      <c r="G256" s="4">
        <v>1.4253563390847712E-2</v>
      </c>
    </row>
    <row r="257" spans="1:7" x14ac:dyDescent="0.3">
      <c r="A257" s="1" t="s">
        <v>640</v>
      </c>
      <c r="B257" s="1" t="str">
        <f>VLOOKUP(C257,'Code ONU'!$C$1:$E$231,3,FALSE)</f>
        <v>Amériques</v>
      </c>
      <c r="C257" s="1" t="s">
        <v>454</v>
      </c>
      <c r="D257" s="1">
        <v>2022</v>
      </c>
      <c r="E257" s="7">
        <v>340593</v>
      </c>
      <c r="F257" s="7">
        <v>2214</v>
      </c>
      <c r="G257" s="4">
        <v>6.5004271960962205E-3</v>
      </c>
    </row>
    <row r="258" spans="1:7" x14ac:dyDescent="0.3">
      <c r="A258" s="1" t="s">
        <v>587</v>
      </c>
      <c r="B258" s="1" t="str">
        <f>VLOOKUP(C258,'Code ONU'!$C$1:$E$231,3,FALSE)</f>
        <v>Europe centrale et orientale</v>
      </c>
      <c r="C258" s="1" t="s">
        <v>356</v>
      </c>
      <c r="D258" s="1">
        <v>2022</v>
      </c>
      <c r="E258" s="7">
        <v>145484</v>
      </c>
      <c r="F258" s="7">
        <v>626</v>
      </c>
      <c r="G258" s="4">
        <v>4.302878667069918E-3</v>
      </c>
    </row>
    <row r="259" spans="1:7" x14ac:dyDescent="0.3">
      <c r="A259" s="1" t="s">
        <v>528</v>
      </c>
      <c r="B259" s="1" t="str">
        <f>VLOOKUP(C259,'Code ONU'!$C$1:$E$231,3,FALSE)</f>
        <v>Europe occidentale</v>
      </c>
      <c r="C259" s="1" t="s">
        <v>161</v>
      </c>
      <c r="D259" s="1">
        <v>2022</v>
      </c>
      <c r="E259" s="7">
        <v>5548</v>
      </c>
      <c r="F259" s="7">
        <v>437</v>
      </c>
      <c r="G259" s="4">
        <v>7.8767123287671229E-2</v>
      </c>
    </row>
    <row r="260" spans="1:7" x14ac:dyDescent="0.3">
      <c r="A260" s="1" t="s">
        <v>162</v>
      </c>
      <c r="B260" s="1" t="str">
        <f>VLOOKUP(C260,'Code ONU'!$C$1:$E$231,3,FALSE)</f>
        <v>Europe occidentale</v>
      </c>
      <c r="C260" s="1" t="s">
        <v>163</v>
      </c>
      <c r="D260" s="1">
        <v>2022</v>
      </c>
      <c r="E260" s="7">
        <v>66173</v>
      </c>
      <c r="F260" s="7">
        <v>64532</v>
      </c>
      <c r="G260" s="4">
        <v>0.97520136611608965</v>
      </c>
    </row>
    <row r="261" spans="1:7" x14ac:dyDescent="0.3">
      <c r="A261" s="1" t="s">
        <v>168</v>
      </c>
      <c r="B261" s="1" t="str">
        <f>VLOOKUP(C261,'Code ONU'!$C$1:$E$231,3,FALSE)</f>
        <v>Afrique centrale</v>
      </c>
      <c r="C261" s="1" t="s">
        <v>169</v>
      </c>
      <c r="D261" s="1">
        <v>2022</v>
      </c>
      <c r="E261" s="7">
        <v>2404</v>
      </c>
      <c r="F261" s="7">
        <v>1567</v>
      </c>
      <c r="G261" s="4">
        <v>0.65183028286189681</v>
      </c>
    </row>
    <row r="262" spans="1:7" x14ac:dyDescent="0.3">
      <c r="A262" s="1" t="s">
        <v>531</v>
      </c>
      <c r="B262" s="1" t="str">
        <f>VLOOKUP(C262,'Code ONU'!$C$1:$E$231,3,FALSE)</f>
        <v>Afrique de l'Ouest</v>
      </c>
      <c r="C262" s="1" t="s">
        <v>171</v>
      </c>
      <c r="D262" s="1">
        <v>2022</v>
      </c>
      <c r="E262" s="7">
        <v>2606</v>
      </c>
      <c r="F262" s="7">
        <v>521</v>
      </c>
      <c r="G262" s="4">
        <v>0.19992325402916347</v>
      </c>
    </row>
    <row r="263" spans="1:7" x14ac:dyDescent="0.3">
      <c r="A263" s="1" t="s">
        <v>532</v>
      </c>
      <c r="B263" s="1" t="str">
        <f>VLOOKUP(C263,'Code ONU'!$C$1:$E$231,3,FALSE)</f>
        <v>Moyen-Orient</v>
      </c>
      <c r="C263" s="1" t="s">
        <v>173</v>
      </c>
      <c r="D263" s="1">
        <v>2022</v>
      </c>
      <c r="E263" s="7">
        <v>3782</v>
      </c>
      <c r="F263" s="7">
        <v>16</v>
      </c>
      <c r="G263" s="4">
        <v>4.2305658381808567E-3</v>
      </c>
    </row>
    <row r="264" spans="1:7" x14ac:dyDescent="0.3">
      <c r="A264" s="1" t="s">
        <v>176</v>
      </c>
      <c r="B264" s="1" t="str">
        <f>VLOOKUP(C264,'Code ONU'!$C$1:$E$231,3,FALSE)</f>
        <v>Afrique de l'Ouest</v>
      </c>
      <c r="C264" s="1" t="s">
        <v>177</v>
      </c>
      <c r="D264" s="1">
        <v>2022</v>
      </c>
      <c r="E264" s="7">
        <v>32831</v>
      </c>
      <c r="F264" s="7">
        <v>279</v>
      </c>
      <c r="G264" s="4">
        <v>8.4980658523956011E-3</v>
      </c>
    </row>
    <row r="265" spans="1:7" x14ac:dyDescent="0.3">
      <c r="A265" s="1" t="s">
        <v>534</v>
      </c>
      <c r="B265" s="1" t="str">
        <f>VLOOKUP(C265,'Code ONU'!$C$1:$E$231,3,FALSE)</f>
        <v>Europe occidentale</v>
      </c>
      <c r="C265" s="1" t="s">
        <v>181</v>
      </c>
      <c r="D265" s="1">
        <v>2022</v>
      </c>
      <c r="E265" s="7">
        <v>10476</v>
      </c>
      <c r="F265" s="7">
        <v>766</v>
      </c>
      <c r="G265" s="4">
        <v>7.3119511263841155E-2</v>
      </c>
    </row>
    <row r="266" spans="1:7" x14ac:dyDescent="0.3">
      <c r="A266" s="1" t="s">
        <v>186</v>
      </c>
      <c r="B266" s="1" t="str">
        <f>VLOOKUP(C266,'Code ONU'!$C$1:$E$231,3,FALSE)</f>
        <v>Caraïbes</v>
      </c>
      <c r="C266" s="1" t="s">
        <v>187</v>
      </c>
      <c r="D266" s="1">
        <v>2022</v>
      </c>
      <c r="E266" s="7">
        <v>392</v>
      </c>
      <c r="F266" s="7">
        <v>329</v>
      </c>
      <c r="G266" s="4">
        <v>0.8392857142857143</v>
      </c>
    </row>
    <row r="267" spans="1:7" x14ac:dyDescent="0.3">
      <c r="A267" s="1" t="s">
        <v>537</v>
      </c>
      <c r="B267" s="1" t="str">
        <f>VLOOKUP(C267,'Code ONU'!$C$1:$E$231,3,FALSE)</f>
        <v>Afrique de l'Ouest</v>
      </c>
      <c r="C267" s="1" t="s">
        <v>193</v>
      </c>
      <c r="D267" s="1">
        <v>2022</v>
      </c>
      <c r="E267" s="7">
        <v>13881</v>
      </c>
      <c r="F267" s="7">
        <v>3781</v>
      </c>
      <c r="G267" s="4">
        <v>0.27238671565449174</v>
      </c>
    </row>
    <row r="268" spans="1:7" x14ac:dyDescent="0.3">
      <c r="A268" s="1" t="s">
        <v>521</v>
      </c>
      <c r="B268" s="1" t="str">
        <f>VLOOKUP(C268,'Code ONU'!$C$1:$E$231,3,FALSE)</f>
        <v>Afrique centrale</v>
      </c>
      <c r="C268" s="1" t="s">
        <v>145</v>
      </c>
      <c r="D268" s="1">
        <v>2022</v>
      </c>
      <c r="E268" s="7">
        <v>1782</v>
      </c>
      <c r="F268" s="7">
        <v>515</v>
      </c>
      <c r="G268" s="4">
        <v>0.28900112233445568</v>
      </c>
    </row>
    <row r="269" spans="1:7" x14ac:dyDescent="0.3">
      <c r="A269" s="1" t="s">
        <v>538</v>
      </c>
      <c r="B269" s="1" t="str">
        <f>VLOOKUP(C269,'Code ONU'!$C$1:$E$231,3,FALSE)</f>
        <v>Afrique de l'Ouest</v>
      </c>
      <c r="C269" s="1" t="s">
        <v>195</v>
      </c>
      <c r="D269" s="1">
        <v>2022</v>
      </c>
      <c r="E269" s="7">
        <v>2082</v>
      </c>
      <c r="F269" s="7">
        <v>320</v>
      </c>
      <c r="G269" s="4">
        <v>0.15369836695485112</v>
      </c>
    </row>
    <row r="270" spans="1:7" x14ac:dyDescent="0.3">
      <c r="A270" s="1" t="s">
        <v>529</v>
      </c>
      <c r="B270" s="1" t="str">
        <f>VLOOKUP(C270,'Code ONU'!$C$1:$E$231,3,FALSE)</f>
        <v>Amériques</v>
      </c>
      <c r="C270" s="1" t="s">
        <v>165</v>
      </c>
      <c r="D270" s="1">
        <v>2022</v>
      </c>
      <c r="E270" s="7">
        <v>296</v>
      </c>
      <c r="F270" s="7">
        <v>183</v>
      </c>
      <c r="G270" s="4">
        <v>0.6182432432432432</v>
      </c>
    </row>
    <row r="271" spans="1:7" x14ac:dyDescent="0.3">
      <c r="A271" s="1" t="s">
        <v>539</v>
      </c>
      <c r="B271" s="1" t="str">
        <f>VLOOKUP(C271,'Code ONU'!$C$1:$E$231,3,FALSE)</f>
        <v>Caraïbes</v>
      </c>
      <c r="C271" s="1" t="s">
        <v>199</v>
      </c>
      <c r="D271" s="1">
        <v>2022</v>
      </c>
      <c r="E271" s="7">
        <v>11438</v>
      </c>
      <c r="F271" s="7">
        <v>4804</v>
      </c>
      <c r="G271" s="4">
        <v>0.42000349711488022</v>
      </c>
    </row>
    <row r="272" spans="1:7" x14ac:dyDescent="0.3">
      <c r="A272" s="1" t="s">
        <v>540</v>
      </c>
      <c r="B272" s="1" t="str">
        <f>VLOOKUP(C272,'Code ONU'!$C$1:$E$231,3,FALSE)</f>
        <v>Europe centrale et orientale</v>
      </c>
      <c r="C272" s="1" t="s">
        <v>203</v>
      </c>
      <c r="D272" s="1">
        <v>2022</v>
      </c>
      <c r="E272" s="7">
        <v>9685</v>
      </c>
      <c r="F272" s="7">
        <v>114</v>
      </c>
      <c r="G272" s="4">
        <v>1.1770779556014455E-2</v>
      </c>
    </row>
    <row r="273" spans="1:7" x14ac:dyDescent="0.3">
      <c r="A273" s="1" t="s">
        <v>629</v>
      </c>
      <c r="B273" s="1" t="str">
        <f>VLOOKUP(C273,'Code ONU'!$C$1:$E$231,3,FALSE)</f>
        <v>Océanie</v>
      </c>
      <c r="C273" s="1" t="s">
        <v>468</v>
      </c>
      <c r="D273" s="1">
        <v>2022</v>
      </c>
      <c r="E273" s="7">
        <v>12</v>
      </c>
      <c r="F273" s="7">
        <v>10</v>
      </c>
      <c r="G273" s="4">
        <v>0.83333333333333337</v>
      </c>
    </row>
    <row r="274" spans="1:7" x14ac:dyDescent="0.3">
      <c r="A274" s="1" t="s">
        <v>545</v>
      </c>
      <c r="B274" s="1" t="str">
        <f>VLOOKUP(C274,'Code ONU'!$C$1:$E$231,3,FALSE)</f>
        <v>Europe occidentale</v>
      </c>
      <c r="C274" s="1" t="s">
        <v>215</v>
      </c>
      <c r="D274" s="1">
        <v>2022</v>
      </c>
      <c r="E274" s="7">
        <v>5054</v>
      </c>
      <c r="F274" s="7">
        <v>634</v>
      </c>
      <c r="G274" s="4">
        <v>0.12544519192718639</v>
      </c>
    </row>
    <row r="275" spans="1:7" x14ac:dyDescent="0.3">
      <c r="A275" s="1" t="s">
        <v>547</v>
      </c>
      <c r="B275" s="1" t="str">
        <f>VLOOKUP(C275,'Code ONU'!$C$1:$E$231,3,FALSE)</f>
        <v>Moyen-Orient</v>
      </c>
      <c r="C275" s="1" t="s">
        <v>219</v>
      </c>
      <c r="D275" s="1">
        <v>2022</v>
      </c>
      <c r="E275" s="7">
        <v>9015</v>
      </c>
      <c r="F275" s="7">
        <v>534</v>
      </c>
      <c r="G275" s="4">
        <v>5.9234608985024959E-2</v>
      </c>
    </row>
    <row r="276" spans="1:7" x14ac:dyDescent="0.3">
      <c r="A276" s="1" t="s">
        <v>548</v>
      </c>
      <c r="B276" s="1" t="str">
        <f>VLOOKUP(C276,'Code ONU'!$C$1:$E$231,3,FALSE)</f>
        <v>Europe occidentale</v>
      </c>
      <c r="C276" s="1" t="s">
        <v>221</v>
      </c>
      <c r="D276" s="1">
        <v>2022</v>
      </c>
      <c r="E276" s="7">
        <v>59674</v>
      </c>
      <c r="F276" s="7">
        <v>11684</v>
      </c>
      <c r="G276" s="4">
        <v>0.19579716459429566</v>
      </c>
    </row>
    <row r="277" spans="1:7" x14ac:dyDescent="0.3">
      <c r="A277" s="1" t="s">
        <v>554</v>
      </c>
      <c r="B277" s="1" t="str">
        <f>VLOOKUP(C277,'Code ONU'!$C$1:$E$231,3,FALSE)</f>
        <v>Asie</v>
      </c>
      <c r="C277" s="1" t="s">
        <v>241</v>
      </c>
      <c r="D277" s="1">
        <v>2022</v>
      </c>
      <c r="E277" s="7">
        <v>7506</v>
      </c>
      <c r="F277" s="7">
        <v>205</v>
      </c>
      <c r="G277" s="4">
        <v>2.7311484146016519E-2</v>
      </c>
    </row>
    <row r="278" spans="1:7" x14ac:dyDescent="0.3">
      <c r="A278" s="1" t="s">
        <v>555</v>
      </c>
      <c r="B278" s="1" t="str">
        <f>VLOOKUP(C278,'Code ONU'!$C$1:$E$231,3,FALSE)</f>
        <v>Europe occidentale</v>
      </c>
      <c r="C278" s="1" t="s">
        <v>243</v>
      </c>
      <c r="D278" s="1">
        <v>2022</v>
      </c>
      <c r="E278" s="7">
        <v>1877</v>
      </c>
      <c r="F278" s="7">
        <v>21</v>
      </c>
      <c r="G278" s="4">
        <v>1.1188066062866276E-2</v>
      </c>
    </row>
    <row r="279" spans="1:7" x14ac:dyDescent="0.3">
      <c r="A279" s="1" t="s">
        <v>556</v>
      </c>
      <c r="B279" s="1" t="str">
        <f>VLOOKUP(C279,'Code ONU'!$C$1:$E$231,3,FALSE)</f>
        <v>Moyen-Orient</v>
      </c>
      <c r="C279" s="1" t="s">
        <v>245</v>
      </c>
      <c r="D279" s="1">
        <v>2022</v>
      </c>
      <c r="E279" s="7">
        <v>5728</v>
      </c>
      <c r="F279" s="7">
        <v>2176</v>
      </c>
      <c r="G279" s="4">
        <v>0.37988826815642457</v>
      </c>
    </row>
    <row r="280" spans="1:7" x14ac:dyDescent="0.3">
      <c r="A280" s="1" t="s">
        <v>559</v>
      </c>
      <c r="B280" s="1" t="str">
        <f>VLOOKUP(C280,'Code ONU'!$C$1:$E$231,3,FALSE)</f>
        <v>Europe occidentale</v>
      </c>
      <c r="C280" s="1" t="s">
        <v>255</v>
      </c>
      <c r="D280" s="1">
        <v>2022</v>
      </c>
      <c r="E280" s="7">
        <v>2792</v>
      </c>
      <c r="F280" s="7">
        <v>66</v>
      </c>
      <c r="G280" s="4">
        <v>2.3638968481375359E-2</v>
      </c>
    </row>
    <row r="281" spans="1:7" x14ac:dyDescent="0.3">
      <c r="A281" s="1" t="s">
        <v>256</v>
      </c>
      <c r="B281" s="1" t="str">
        <f>VLOOKUP(C281,'Code ONU'!$C$1:$E$231,3,FALSE)</f>
        <v>Europe occidentale</v>
      </c>
      <c r="C281" s="1" t="s">
        <v>257</v>
      </c>
      <c r="D281" s="1">
        <v>2022</v>
      </c>
      <c r="E281" s="7">
        <v>646</v>
      </c>
      <c r="F281" s="7">
        <v>594</v>
      </c>
      <c r="G281" s="4">
        <v>0.91950464396284826</v>
      </c>
    </row>
    <row r="282" spans="1:7" x14ac:dyDescent="0.3">
      <c r="A282" s="1" t="s">
        <v>577</v>
      </c>
      <c r="B282" s="1" t="str">
        <f>VLOOKUP(C282,'Code ONU'!$C$1:$E$231,3,FALSE)</f>
        <v>Europe centrale et orientale</v>
      </c>
      <c r="C282" s="1" t="s">
        <v>319</v>
      </c>
      <c r="D282" s="1">
        <v>2022</v>
      </c>
      <c r="E282" s="7">
        <v>1844</v>
      </c>
      <c r="F282" s="7">
        <v>38</v>
      </c>
      <c r="G282" s="4">
        <v>2.0607375271149676E-2</v>
      </c>
    </row>
    <row r="283" spans="1:7" x14ac:dyDescent="0.3">
      <c r="A283" s="1" t="s">
        <v>258</v>
      </c>
      <c r="B283" s="1" t="str">
        <f>VLOOKUP(C283,'Code ONU'!$C$1:$E$231,3,FALSE)</f>
        <v>Afrique australe et Océan Indien</v>
      </c>
      <c r="C283" s="1" t="s">
        <v>259</v>
      </c>
      <c r="D283" s="1">
        <v>2022</v>
      </c>
      <c r="E283" s="7">
        <v>30061</v>
      </c>
      <c r="F283" s="7">
        <v>7127</v>
      </c>
      <c r="G283" s="4">
        <v>0.23708459465752968</v>
      </c>
    </row>
    <row r="284" spans="1:7" x14ac:dyDescent="0.3">
      <c r="A284" s="1" t="s">
        <v>266</v>
      </c>
      <c r="B284" s="1" t="str">
        <f>VLOOKUP(C284,'Code ONU'!$C$1:$E$231,3,FALSE)</f>
        <v>Afrique de l'Ouest</v>
      </c>
      <c r="C284" s="1" t="s">
        <v>267</v>
      </c>
      <c r="D284" s="1">
        <v>2022</v>
      </c>
      <c r="E284" s="7">
        <v>22729</v>
      </c>
      <c r="F284" s="7">
        <v>3919</v>
      </c>
      <c r="G284" s="4">
        <v>0.17242289585991466</v>
      </c>
    </row>
    <row r="285" spans="1:7" x14ac:dyDescent="0.3">
      <c r="A285" s="1" t="s">
        <v>561</v>
      </c>
      <c r="B285" s="1" t="str">
        <f>VLOOKUP(C285,'Code ONU'!$C$1:$E$231,3,FALSE)</f>
        <v>Europe occidentale</v>
      </c>
      <c r="C285" s="1" t="s">
        <v>269</v>
      </c>
      <c r="D285" s="1">
        <v>2022</v>
      </c>
      <c r="E285" s="7">
        <v>527</v>
      </c>
      <c r="F285" s="7">
        <v>69</v>
      </c>
      <c r="G285" s="4">
        <v>0.13092979127134724</v>
      </c>
    </row>
    <row r="286" spans="1:7" x14ac:dyDescent="0.3">
      <c r="A286" s="1" t="s">
        <v>569</v>
      </c>
      <c r="B286" s="1" t="str">
        <f>VLOOKUP(C286,'Code ONU'!$C$1:$E$231,3,FALSE)</f>
        <v>Afrique du Nord</v>
      </c>
      <c r="C286" s="1" t="s">
        <v>293</v>
      </c>
      <c r="D286" s="1">
        <v>2022</v>
      </c>
      <c r="E286" s="7">
        <v>37134</v>
      </c>
      <c r="F286" s="7">
        <v>13231</v>
      </c>
      <c r="G286" s="4">
        <v>0.35630419561587762</v>
      </c>
    </row>
    <row r="287" spans="1:7" x14ac:dyDescent="0.3">
      <c r="A287" s="1" t="s">
        <v>272</v>
      </c>
      <c r="B287" s="1" t="str">
        <f>VLOOKUP(C287,'Code ONU'!$C$1:$E$231,3,FALSE)</f>
        <v>Caraïbes</v>
      </c>
      <c r="C287" s="1" t="s">
        <v>273</v>
      </c>
      <c r="D287" s="1">
        <v>2022</v>
      </c>
      <c r="E287" s="7">
        <v>351</v>
      </c>
      <c r="F287" s="7">
        <v>285</v>
      </c>
      <c r="G287" s="4">
        <v>0.81196581196581197</v>
      </c>
    </row>
    <row r="288" spans="1:7" x14ac:dyDescent="0.3">
      <c r="A288" s="1" t="s">
        <v>272</v>
      </c>
      <c r="B288" s="1" t="str">
        <f>VLOOKUP(C288,'Code ONU'!$C$1:$E$231,3,FALSE)</f>
        <v>Caraïbes</v>
      </c>
      <c r="C288" s="1" t="s">
        <v>273</v>
      </c>
      <c r="D288" s="1">
        <v>2022</v>
      </c>
      <c r="E288" s="7">
        <v>29</v>
      </c>
      <c r="F288" s="7">
        <v>25</v>
      </c>
      <c r="G288" s="4">
        <v>0.86206896551724133</v>
      </c>
    </row>
    <row r="289" spans="1:7" x14ac:dyDescent="0.3">
      <c r="A289" s="1" t="s">
        <v>564</v>
      </c>
      <c r="B289" s="1" t="str">
        <f>VLOOKUP(C289,'Code ONU'!$C$1:$E$231,3,FALSE)</f>
        <v>Afrique australe et Océan Indien</v>
      </c>
      <c r="C289" s="1" t="s">
        <v>277</v>
      </c>
      <c r="D289" s="1">
        <v>2022</v>
      </c>
      <c r="E289" s="7">
        <v>1278</v>
      </c>
      <c r="F289" s="7">
        <v>928</v>
      </c>
      <c r="G289" s="4">
        <v>0.72613458528951491</v>
      </c>
    </row>
    <row r="290" spans="1:7" x14ac:dyDescent="0.3">
      <c r="A290" s="1" t="s">
        <v>563</v>
      </c>
      <c r="B290" s="1" t="str">
        <f>VLOOKUP(C290,'Code ONU'!$C$1:$E$231,3,FALSE)</f>
        <v>Afrique du Nord</v>
      </c>
      <c r="C290" s="1" t="s">
        <v>275</v>
      </c>
      <c r="D290" s="1">
        <v>2022</v>
      </c>
      <c r="E290" s="7">
        <v>4803</v>
      </c>
      <c r="F290" s="7">
        <v>643</v>
      </c>
      <c r="G290" s="4">
        <v>0.1338746616697897</v>
      </c>
    </row>
    <row r="291" spans="1:7" x14ac:dyDescent="0.3">
      <c r="A291" s="1" t="s">
        <v>278</v>
      </c>
      <c r="B291" s="1" t="str">
        <f>VLOOKUP(C291,'Code ONU'!$C$1:$E$231,3,FALSE)</f>
        <v>Afrique australe et Océan Indien</v>
      </c>
      <c r="C291" s="1" t="s">
        <v>279</v>
      </c>
      <c r="D291" s="1">
        <v>2022</v>
      </c>
      <c r="E291" s="7">
        <v>300</v>
      </c>
      <c r="F291" s="7">
        <v>189</v>
      </c>
      <c r="G291" s="4">
        <v>0.63</v>
      </c>
    </row>
    <row r="292" spans="1:7" x14ac:dyDescent="0.3">
      <c r="A292" s="1" t="s">
        <v>565</v>
      </c>
      <c r="B292" s="1" t="str">
        <f>VLOOKUP(C292,'Code ONU'!$C$1:$E$231,3,FALSE)</f>
        <v>Amériques</v>
      </c>
      <c r="C292" s="1" t="s">
        <v>281</v>
      </c>
      <c r="D292" s="1">
        <v>2022</v>
      </c>
      <c r="E292" s="7">
        <v>128055</v>
      </c>
      <c r="F292" s="7">
        <v>26</v>
      </c>
      <c r="G292" s="4">
        <v>2.0303775721369725E-4</v>
      </c>
    </row>
    <row r="293" spans="1:7" x14ac:dyDescent="0.3">
      <c r="A293" s="1" t="s">
        <v>585</v>
      </c>
      <c r="B293" s="1" t="str">
        <f>VLOOKUP(C293,'Code ONU'!$C$1:$E$231,3,FALSE)</f>
        <v>Europe centrale et orientale</v>
      </c>
      <c r="C293" s="1" t="s">
        <v>350</v>
      </c>
      <c r="D293" s="1">
        <v>2022</v>
      </c>
      <c r="E293" s="7">
        <v>2999</v>
      </c>
      <c r="F293" s="7">
        <v>41</v>
      </c>
      <c r="G293" s="4">
        <v>1.3671223741247083E-2</v>
      </c>
    </row>
    <row r="294" spans="1:7" x14ac:dyDescent="0.3">
      <c r="A294" s="1" t="s">
        <v>284</v>
      </c>
      <c r="B294" s="1" t="str">
        <f>VLOOKUP(C294,'Code ONU'!$C$1:$E$231,3,FALSE)</f>
        <v>Europe occidentale</v>
      </c>
      <c r="C294" s="1" t="s">
        <v>285</v>
      </c>
      <c r="D294" s="1">
        <v>2022</v>
      </c>
      <c r="E294" s="7">
        <v>39</v>
      </c>
      <c r="F294" s="7">
        <v>38</v>
      </c>
      <c r="G294" s="4">
        <v>0.97435897435897434</v>
      </c>
    </row>
    <row r="295" spans="1:7" x14ac:dyDescent="0.3">
      <c r="A295" s="1" t="s">
        <v>568</v>
      </c>
      <c r="B295" s="1" t="str">
        <f>VLOOKUP(C295,'Code ONU'!$C$1:$E$231,3,FALSE)</f>
        <v>Europe centrale et orientale</v>
      </c>
      <c r="C295" s="1" t="s">
        <v>289</v>
      </c>
      <c r="D295" s="1">
        <v>2022</v>
      </c>
      <c r="E295" s="7">
        <v>602</v>
      </c>
      <c r="F295" s="7">
        <v>12</v>
      </c>
      <c r="G295" s="4">
        <v>1.9933554817275746E-2</v>
      </c>
    </row>
    <row r="296" spans="1:7" x14ac:dyDescent="0.3">
      <c r="A296" s="1" t="s">
        <v>294</v>
      </c>
      <c r="B296" s="1" t="str">
        <f>VLOOKUP(C296,'Code ONU'!$C$1:$E$231,3,FALSE)</f>
        <v>Afrique de l'Est</v>
      </c>
      <c r="C296" s="1" t="s">
        <v>295</v>
      </c>
      <c r="D296" s="1">
        <v>2022</v>
      </c>
      <c r="E296" s="7">
        <v>32172</v>
      </c>
      <c r="F296" s="7">
        <v>97</v>
      </c>
      <c r="G296" s="4">
        <v>3.0150441377595426E-3</v>
      </c>
    </row>
    <row r="297" spans="1:7" x14ac:dyDescent="0.3">
      <c r="A297" s="1" t="s">
        <v>312</v>
      </c>
      <c r="B297" s="1" t="str">
        <f>VLOOKUP(C297,'Code ONU'!$C$1:$E$231,3,FALSE)</f>
        <v>Afrique de l'Ouest</v>
      </c>
      <c r="C297" s="1" t="s">
        <v>313</v>
      </c>
      <c r="D297" s="1">
        <v>2022</v>
      </c>
      <c r="E297" s="7">
        <v>24897</v>
      </c>
      <c r="F297" s="7">
        <v>3209</v>
      </c>
      <c r="G297" s="4">
        <v>0.12889103104791741</v>
      </c>
    </row>
    <row r="298" spans="1:7" x14ac:dyDescent="0.3">
      <c r="A298" s="1" t="s">
        <v>579</v>
      </c>
      <c r="B298" s="1" t="str">
        <f>VLOOKUP(C298,'Code ONU'!$C$1:$E$231,3,FALSE)</f>
        <v>Europe occidentale</v>
      </c>
      <c r="C298" s="1" t="s">
        <v>323</v>
      </c>
      <c r="D298" s="1">
        <v>2022</v>
      </c>
      <c r="E298" s="7">
        <v>5425</v>
      </c>
      <c r="F298" s="7">
        <v>165</v>
      </c>
      <c r="G298" s="4">
        <v>3.0414746543778803E-2</v>
      </c>
    </row>
    <row r="299" spans="1:7" x14ac:dyDescent="0.3">
      <c r="A299" s="1" t="s">
        <v>573</v>
      </c>
      <c r="B299" s="1" t="str">
        <f>VLOOKUP(C299,'Code ONU'!$C$1:$E$231,3,FALSE)</f>
        <v>Océanie</v>
      </c>
      <c r="C299" s="1" t="s">
        <v>307</v>
      </c>
      <c r="D299" s="1">
        <v>2022</v>
      </c>
      <c r="E299" s="7">
        <v>286</v>
      </c>
      <c r="F299" s="7">
        <v>283</v>
      </c>
      <c r="G299" s="4">
        <v>0.98951048951048948</v>
      </c>
    </row>
    <row r="300" spans="1:7" x14ac:dyDescent="0.3">
      <c r="A300" s="1" t="s">
        <v>334</v>
      </c>
      <c r="B300" s="1" t="str">
        <f>VLOOKUP(C300,'Code ONU'!$C$1:$E$231,3,FALSE)</f>
        <v>Amériques</v>
      </c>
      <c r="C300" s="1" t="s">
        <v>335</v>
      </c>
      <c r="D300" s="1">
        <v>2022</v>
      </c>
      <c r="E300" s="7">
        <v>6719</v>
      </c>
      <c r="F300" s="7">
        <v>13</v>
      </c>
      <c r="G300" s="4">
        <v>1.9348117279357048E-3</v>
      </c>
    </row>
    <row r="301" spans="1:7" x14ac:dyDescent="0.3">
      <c r="A301" s="1" t="s">
        <v>572</v>
      </c>
      <c r="B301" s="1" t="str">
        <f>VLOOKUP(C301,'Code ONU'!$C$1:$E$231,3,FALSE)</f>
        <v>Europe occidentale</v>
      </c>
      <c r="C301" s="1" t="s">
        <v>305</v>
      </c>
      <c r="D301" s="1">
        <v>2022</v>
      </c>
      <c r="E301" s="7">
        <v>17789</v>
      </c>
      <c r="F301" s="7">
        <v>3417</v>
      </c>
      <c r="G301" s="4">
        <v>0.19208499634605655</v>
      </c>
    </row>
    <row r="302" spans="1:7" x14ac:dyDescent="0.3">
      <c r="A302" s="1" t="s">
        <v>583</v>
      </c>
      <c r="B302" s="1" t="str">
        <f>VLOOKUP(C302,'Code ONU'!$C$1:$E$231,3,FALSE)</f>
        <v>Europe centrale et orientale</v>
      </c>
      <c r="C302" s="1" t="s">
        <v>341</v>
      </c>
      <c r="D302" s="1">
        <v>2022</v>
      </c>
      <c r="E302" s="7">
        <v>37958</v>
      </c>
      <c r="F302" s="7">
        <v>953</v>
      </c>
      <c r="G302" s="4">
        <v>2.5106696875493967E-2</v>
      </c>
    </row>
    <row r="303" spans="1:7" x14ac:dyDescent="0.3">
      <c r="A303" s="1" t="s">
        <v>530</v>
      </c>
      <c r="B303" s="1" t="str">
        <f>VLOOKUP(C303,'Code ONU'!$C$1:$E$231,3,FALSE)</f>
        <v>Océanie</v>
      </c>
      <c r="C303" s="1" t="s">
        <v>167</v>
      </c>
      <c r="D303" s="1">
        <v>2022</v>
      </c>
      <c r="E303" s="7">
        <v>280</v>
      </c>
      <c r="F303" s="7">
        <v>274</v>
      </c>
      <c r="G303" s="4">
        <v>0.97857142857142854</v>
      </c>
    </row>
    <row r="304" spans="1:7" x14ac:dyDescent="0.3">
      <c r="A304" s="1" t="s">
        <v>342</v>
      </c>
      <c r="B304" s="1" t="str">
        <f>VLOOKUP(C304,'Code ONU'!$C$1:$E$231,3,FALSE)</f>
        <v>Europe occidentale</v>
      </c>
      <c r="C304" s="1" t="s">
        <v>343</v>
      </c>
      <c r="D304" s="1">
        <v>2022</v>
      </c>
      <c r="E304" s="7">
        <v>10403</v>
      </c>
      <c r="F304" s="7">
        <v>2613</v>
      </c>
      <c r="G304" s="4">
        <v>0.25117754493895994</v>
      </c>
    </row>
    <row r="305" spans="1:7" x14ac:dyDescent="0.3">
      <c r="A305" s="1" t="s">
        <v>346</v>
      </c>
      <c r="B305" s="1" t="str">
        <f>VLOOKUP(C305,'Code ONU'!$C$1:$E$231,3,FALSE)</f>
        <v>Moyen-Orient</v>
      </c>
      <c r="C305" s="1" t="s">
        <v>347</v>
      </c>
      <c r="D305" s="1">
        <v>2022</v>
      </c>
      <c r="E305" s="7">
        <v>2839</v>
      </c>
      <c r="F305" s="7">
        <v>121</v>
      </c>
      <c r="G305" s="4">
        <v>4.2620641070799575E-2</v>
      </c>
    </row>
    <row r="306" spans="1:7" x14ac:dyDescent="0.3">
      <c r="A306" s="1" t="s">
        <v>518</v>
      </c>
      <c r="B306" s="1" t="str">
        <f>VLOOKUP(C306,'Code ONU'!$C$1:$E$231,3,FALSE)</f>
        <v>Caraïbes</v>
      </c>
      <c r="C306" s="1" t="s">
        <v>137</v>
      </c>
      <c r="D306" s="1">
        <v>2022</v>
      </c>
      <c r="E306" s="7">
        <v>11179</v>
      </c>
      <c r="F306" s="7">
        <v>161</v>
      </c>
      <c r="G306" s="4">
        <v>1.4402003757044458E-2</v>
      </c>
    </row>
    <row r="307" spans="1:7" x14ac:dyDescent="0.3">
      <c r="A307" s="1" t="s">
        <v>641</v>
      </c>
      <c r="B307" s="1" t="str">
        <f>VLOOKUP(C307,'Code ONU'!$C$1:$E$231,3,FALSE)</f>
        <v>Europe centrale et orientale</v>
      </c>
      <c r="C307" s="1" t="s">
        <v>125</v>
      </c>
      <c r="D307" s="1">
        <v>2022</v>
      </c>
      <c r="E307" s="7">
        <v>10519</v>
      </c>
      <c r="F307" s="7">
        <v>228</v>
      </c>
      <c r="G307" s="4">
        <v>2.1675064169597871E-2</v>
      </c>
    </row>
    <row r="308" spans="1:7" x14ac:dyDescent="0.3">
      <c r="A308" s="1" t="s">
        <v>351</v>
      </c>
      <c r="B308" s="1" t="str">
        <f>VLOOKUP(C308,'Code ONU'!$C$1:$E$231,3,FALSE)</f>
        <v>Afrique australe et Océan Indien</v>
      </c>
      <c r="C308" s="1" t="s">
        <v>352</v>
      </c>
      <c r="D308" s="1">
        <v>2022</v>
      </c>
      <c r="E308" s="7">
        <v>870</v>
      </c>
      <c r="F308" s="7">
        <v>766</v>
      </c>
      <c r="G308" s="4">
        <v>0.88045977011494247</v>
      </c>
    </row>
    <row r="309" spans="1:7" x14ac:dyDescent="0.3">
      <c r="A309" s="1" t="s">
        <v>586</v>
      </c>
      <c r="B309" s="1" t="str">
        <f>VLOOKUP(C309,'Code ONU'!$C$1:$E$231,3,FALSE)</f>
        <v>Europe centrale et orientale</v>
      </c>
      <c r="C309" s="1" t="s">
        <v>354</v>
      </c>
      <c r="D309" s="1">
        <v>2022</v>
      </c>
      <c r="E309" s="7">
        <v>19164</v>
      </c>
      <c r="F309" s="7">
        <v>2298</v>
      </c>
      <c r="G309" s="4">
        <v>0.11991233562930495</v>
      </c>
    </row>
    <row r="310" spans="1:7" x14ac:dyDescent="0.3">
      <c r="A310" s="1" t="s">
        <v>623</v>
      </c>
      <c r="B310" s="1" t="str">
        <f>VLOOKUP(C310,'Code ONU'!$C$1:$E$231,3,FALSE)</f>
        <v>Europe occidentale</v>
      </c>
      <c r="C310" s="1" t="s">
        <v>450</v>
      </c>
      <c r="D310" s="1">
        <v>2022</v>
      </c>
      <c r="E310" s="7">
        <v>67916</v>
      </c>
      <c r="F310" s="7">
        <v>11186</v>
      </c>
      <c r="G310" s="4">
        <v>0.16470345721184992</v>
      </c>
    </row>
    <row r="311" spans="1:7" x14ac:dyDescent="0.3">
      <c r="A311" s="1" t="s">
        <v>357</v>
      </c>
      <c r="B311" s="1" t="str">
        <f>VLOOKUP(C311,'Code ONU'!$C$1:$E$231,3,FALSE)</f>
        <v>Afrique de l'Est</v>
      </c>
      <c r="C311" s="1" t="s">
        <v>358</v>
      </c>
      <c r="D311" s="1">
        <v>2022</v>
      </c>
      <c r="E311" s="7">
        <v>13499</v>
      </c>
      <c r="F311" s="7">
        <v>787</v>
      </c>
      <c r="G311" s="4">
        <v>5.8300614860360027E-2</v>
      </c>
    </row>
    <row r="312" spans="1:7" x14ac:dyDescent="0.3">
      <c r="A312" s="1" t="s">
        <v>588</v>
      </c>
      <c r="B312" s="1" t="str">
        <f>VLOOKUP(C312,'Code ONU'!$C$1:$E$231,3,FALSE)</f>
        <v>Caraïbes</v>
      </c>
      <c r="C312" s="1" t="s">
        <v>360</v>
      </c>
      <c r="D312" s="1">
        <v>2022</v>
      </c>
      <c r="E312" s="7">
        <v>11</v>
      </c>
      <c r="F312" s="7">
        <v>9</v>
      </c>
      <c r="G312" s="4">
        <v>0.81818181818181823</v>
      </c>
    </row>
    <row r="313" spans="1:7" x14ac:dyDescent="0.3">
      <c r="A313" s="1" t="s">
        <v>591</v>
      </c>
      <c r="B313" s="1" t="str">
        <f>VLOOKUP(C313,'Code ONU'!$C$1:$E$231,3,FALSE)</f>
        <v>Caraïbes</v>
      </c>
      <c r="C313" s="1" t="s">
        <v>366</v>
      </c>
      <c r="D313" s="1">
        <v>2022</v>
      </c>
      <c r="E313" s="7">
        <v>179</v>
      </c>
      <c r="F313" s="7">
        <v>3</v>
      </c>
      <c r="G313" s="4">
        <v>1.6759776536312849E-2</v>
      </c>
    </row>
    <row r="314" spans="1:7" x14ac:dyDescent="0.3">
      <c r="A314" s="1" t="s">
        <v>593</v>
      </c>
      <c r="B314" s="1" t="str">
        <f>VLOOKUP(C314,'Code ONU'!$C$1:$E$231,3,FALSE)</f>
        <v>Amériques</v>
      </c>
      <c r="C314" s="1" t="s">
        <v>370</v>
      </c>
      <c r="D314" s="1">
        <v>2022</v>
      </c>
      <c r="E314" s="7">
        <v>6</v>
      </c>
      <c r="F314" s="7">
        <v>6</v>
      </c>
      <c r="G314" s="4">
        <v>1</v>
      </c>
    </row>
    <row r="315" spans="1:7" x14ac:dyDescent="0.3">
      <c r="A315" s="1" t="s">
        <v>595</v>
      </c>
      <c r="B315" s="1" t="str">
        <f>VLOOKUP(C315,'Code ONU'!$C$1:$E$231,3,FALSE)</f>
        <v>Afrique centrale</v>
      </c>
      <c r="C315" s="1" t="s">
        <v>376</v>
      </c>
      <c r="D315" s="1">
        <v>2022</v>
      </c>
      <c r="E315" s="7">
        <v>224</v>
      </c>
      <c r="F315" s="7">
        <v>45</v>
      </c>
      <c r="G315" s="4">
        <v>0.20089285714285715</v>
      </c>
    </row>
    <row r="316" spans="1:7" x14ac:dyDescent="0.3">
      <c r="A316" s="1" t="s">
        <v>597</v>
      </c>
      <c r="B316" s="1" t="str">
        <f>VLOOKUP(C316,'Code ONU'!$C$1:$E$231,3,FALSE)</f>
        <v>Afrique de l'Ouest</v>
      </c>
      <c r="C316" s="1" t="s">
        <v>380</v>
      </c>
      <c r="D316" s="1">
        <v>2022</v>
      </c>
      <c r="E316" s="7">
        <v>17435</v>
      </c>
      <c r="F316" s="7">
        <v>4584</v>
      </c>
      <c r="G316" s="4">
        <v>0.26291941496988813</v>
      </c>
    </row>
    <row r="317" spans="1:7" x14ac:dyDescent="0.3">
      <c r="A317" s="1" t="s">
        <v>598</v>
      </c>
      <c r="B317" s="1" t="str">
        <f>VLOOKUP(C317,'Code ONU'!$C$1:$E$231,3,FALSE)</f>
        <v>Europe centrale et orientale</v>
      </c>
      <c r="C317" s="1" t="s">
        <v>382</v>
      </c>
      <c r="D317" s="1">
        <v>2022</v>
      </c>
      <c r="E317" s="7">
        <v>6794</v>
      </c>
      <c r="F317" s="7">
        <v>245</v>
      </c>
      <c r="G317" s="4">
        <v>3.6061230497497793E-2</v>
      </c>
    </row>
    <row r="318" spans="1:7" x14ac:dyDescent="0.3">
      <c r="A318" s="1" t="s">
        <v>383</v>
      </c>
      <c r="B318" s="1" t="str">
        <f>VLOOKUP(C318,'Code ONU'!$C$1:$E$231,3,FALSE)</f>
        <v>Afrique australe et Océan Indien</v>
      </c>
      <c r="C318" s="1" t="s">
        <v>384</v>
      </c>
      <c r="D318" s="1">
        <v>2022</v>
      </c>
      <c r="E318" s="7">
        <v>124</v>
      </c>
      <c r="F318" s="7">
        <v>66</v>
      </c>
      <c r="G318" s="4">
        <v>0.532258064516129</v>
      </c>
    </row>
    <row r="319" spans="1:7" x14ac:dyDescent="0.3">
      <c r="A319" s="1" t="s">
        <v>601</v>
      </c>
      <c r="B319" s="1" t="str">
        <f>VLOOKUP(C319,'Code ONU'!$C$1:$E$231,3,FALSE)</f>
        <v>Europe centrale et orientale</v>
      </c>
      <c r="C319" s="1" t="s">
        <v>392</v>
      </c>
      <c r="D319" s="1">
        <v>2022</v>
      </c>
      <c r="E319" s="7">
        <v>5430</v>
      </c>
      <c r="F319" s="7">
        <v>113</v>
      </c>
      <c r="G319" s="4">
        <v>2.0810313075506445E-2</v>
      </c>
    </row>
    <row r="320" spans="1:7" x14ac:dyDescent="0.3">
      <c r="A320" s="1" t="s">
        <v>602</v>
      </c>
      <c r="B320" s="1" t="str">
        <f>VLOOKUP(C320,'Code ONU'!$C$1:$E$231,3,FALSE)</f>
        <v>Europe centrale et orientale</v>
      </c>
      <c r="C320" s="1" t="s">
        <v>394</v>
      </c>
      <c r="D320" s="1">
        <v>2022</v>
      </c>
      <c r="E320" s="7">
        <v>2113</v>
      </c>
      <c r="F320" s="7">
        <v>51</v>
      </c>
      <c r="G320" s="4">
        <v>2.4136299100804542E-2</v>
      </c>
    </row>
    <row r="321" spans="1:7" x14ac:dyDescent="0.3">
      <c r="A321" s="1" t="s">
        <v>610</v>
      </c>
      <c r="B321" s="1" t="str">
        <f>VLOOKUP(C321,'Code ONU'!$C$1:$E$231,3,FALSE)</f>
        <v>Europe occidentale</v>
      </c>
      <c r="C321" s="1" t="s">
        <v>414</v>
      </c>
      <c r="D321" s="1">
        <v>2022</v>
      </c>
      <c r="E321" s="7">
        <v>10453</v>
      </c>
      <c r="F321" s="7">
        <v>864</v>
      </c>
      <c r="G321" s="4">
        <v>8.2655696929111261E-2</v>
      </c>
    </row>
    <row r="322" spans="1:7" x14ac:dyDescent="0.3">
      <c r="A322" s="1" t="s">
        <v>611</v>
      </c>
      <c r="B322" s="1" t="str">
        <f>VLOOKUP(C322,'Code ONU'!$C$1:$E$231,3,FALSE)</f>
        <v>Europe occidentale</v>
      </c>
      <c r="C322" s="1" t="s">
        <v>416</v>
      </c>
      <c r="D322" s="1">
        <v>2022</v>
      </c>
      <c r="E322" s="7">
        <v>8741</v>
      </c>
      <c r="F322" s="7">
        <v>5868</v>
      </c>
      <c r="G322" s="4">
        <v>0.67131907104450295</v>
      </c>
    </row>
    <row r="323" spans="1:7" x14ac:dyDescent="0.3">
      <c r="A323" s="1" t="s">
        <v>502</v>
      </c>
      <c r="B323" s="1" t="str">
        <f>VLOOKUP(C323,'Code ONU'!$C$1:$E$231,3,FALSE)</f>
        <v>Afrique centrale</v>
      </c>
      <c r="C323" s="1" t="s">
        <v>95</v>
      </c>
      <c r="D323" s="1">
        <v>2022</v>
      </c>
      <c r="E323" s="7">
        <v>18143</v>
      </c>
      <c r="F323" s="7">
        <v>2344</v>
      </c>
      <c r="G323" s="4">
        <v>0.12919583310367636</v>
      </c>
    </row>
    <row r="324" spans="1:7" x14ac:dyDescent="0.3">
      <c r="A324" s="1" t="s">
        <v>614</v>
      </c>
      <c r="B324" s="1" t="str">
        <f>VLOOKUP(C324,'Code ONU'!$C$1:$E$231,3,FALSE)</f>
        <v>Asie</v>
      </c>
      <c r="C324" s="1" t="s">
        <v>422</v>
      </c>
      <c r="D324" s="1">
        <v>2022</v>
      </c>
      <c r="E324" s="7">
        <v>71755</v>
      </c>
      <c r="F324" s="7">
        <v>588</v>
      </c>
      <c r="G324" s="4">
        <v>8.1945509023761409E-3</v>
      </c>
    </row>
    <row r="325" spans="1:7" x14ac:dyDescent="0.3">
      <c r="A325" s="1" t="s">
        <v>425</v>
      </c>
      <c r="B325" s="1" t="str">
        <f>VLOOKUP(C325,'Code ONU'!$C$1:$E$231,3,FALSE)</f>
        <v>Afrique de l'Ouest</v>
      </c>
      <c r="C325" s="1" t="s">
        <v>426</v>
      </c>
      <c r="D325" s="1">
        <v>2022</v>
      </c>
      <c r="E325" s="7">
        <v>8983</v>
      </c>
      <c r="F325" s="7">
        <v>3678</v>
      </c>
      <c r="G325" s="4">
        <v>0.40944005343426471</v>
      </c>
    </row>
    <row r="326" spans="1:7" x14ac:dyDescent="0.3">
      <c r="A326" s="1" t="s">
        <v>617</v>
      </c>
      <c r="B326" s="1" t="str">
        <f>VLOOKUP(C326,'Code ONU'!$C$1:$E$231,3,FALSE)</f>
        <v>Afrique du Nord</v>
      </c>
      <c r="C326" s="1" t="s">
        <v>434</v>
      </c>
      <c r="D326" s="1">
        <v>2022</v>
      </c>
      <c r="E326" s="7">
        <v>12078</v>
      </c>
      <c r="F326" s="7">
        <v>6337</v>
      </c>
      <c r="G326" s="4">
        <v>0.52467295909918865</v>
      </c>
    </row>
    <row r="327" spans="1:7" x14ac:dyDescent="0.3">
      <c r="A327" s="1" t="s">
        <v>445</v>
      </c>
      <c r="B327" s="1" t="str">
        <f>VLOOKUP(C327,'Code ONU'!$C$1:$E$231,3,FALSE)</f>
        <v>Europe centrale et orientale</v>
      </c>
      <c r="C327" s="1" t="s">
        <v>446</v>
      </c>
      <c r="D327" s="1">
        <v>2022</v>
      </c>
      <c r="E327" s="7">
        <v>44073</v>
      </c>
      <c r="F327" s="7">
        <v>53</v>
      </c>
      <c r="G327" s="4">
        <v>1.2025503142513558E-3</v>
      </c>
    </row>
    <row r="328" spans="1:7" x14ac:dyDescent="0.3">
      <c r="A328" s="1" t="s">
        <v>457</v>
      </c>
      <c r="B328" s="1" t="str">
        <f>VLOOKUP(C328,'Code ONU'!$C$1:$E$231,3,FALSE)</f>
        <v>Amériques</v>
      </c>
      <c r="C328" s="1" t="s">
        <v>458</v>
      </c>
      <c r="D328" s="1">
        <v>2022</v>
      </c>
      <c r="E328" s="7">
        <v>3393</v>
      </c>
      <c r="F328" s="7">
        <v>5</v>
      </c>
      <c r="G328" s="4">
        <v>1.4736221632773356E-3</v>
      </c>
    </row>
    <row r="329" spans="1:7" x14ac:dyDescent="0.3">
      <c r="A329" s="1" t="s">
        <v>461</v>
      </c>
      <c r="B329" s="1" t="str">
        <f>VLOOKUP(C329,'Code ONU'!$C$1:$E$231,3,FALSE)</f>
        <v>Océanie</v>
      </c>
      <c r="C329" s="1" t="s">
        <v>462</v>
      </c>
      <c r="D329" s="1">
        <v>2022</v>
      </c>
      <c r="E329" s="7">
        <v>309</v>
      </c>
      <c r="F329" s="7">
        <v>96</v>
      </c>
      <c r="G329" s="4">
        <v>0.31067961165048541</v>
      </c>
    </row>
    <row r="330" spans="1:7" x14ac:dyDescent="0.3">
      <c r="A330" s="1" t="s">
        <v>465</v>
      </c>
      <c r="B330" s="1" t="str">
        <f>VLOOKUP(C330,'Code ONU'!$C$1:$E$231,3,FALSE)</f>
        <v>Asie</v>
      </c>
      <c r="C330" s="1" t="s">
        <v>466</v>
      </c>
      <c r="D330" s="1">
        <v>2022</v>
      </c>
      <c r="E330" s="7">
        <v>99332</v>
      </c>
      <c r="F330" s="7">
        <v>695</v>
      </c>
      <c r="G330" s="4">
        <v>6.9967382112511578E-3</v>
      </c>
    </row>
    <row r="331" spans="1:7" x14ac:dyDescent="0.3">
      <c r="A331" s="1" t="s">
        <v>475</v>
      </c>
      <c r="B331" s="1" t="str">
        <f>VLOOKUP(C331,'Code ONU'!$C$1:$E$231,3,FALSE)</f>
        <v>Europe centrale et orientale</v>
      </c>
      <c r="C331" s="1" t="s">
        <v>8</v>
      </c>
      <c r="D331" s="1">
        <v>2018</v>
      </c>
      <c r="E331" s="7">
        <v>2897</v>
      </c>
      <c r="F331" s="7">
        <v>61</v>
      </c>
      <c r="G331" s="4">
        <v>2.105626510182948E-2</v>
      </c>
    </row>
    <row r="332" spans="1:7" x14ac:dyDescent="0.3">
      <c r="A332" s="1" t="s">
        <v>476</v>
      </c>
      <c r="B332" s="1" t="str">
        <f>VLOOKUP(C332,'Code ONU'!$C$1:$E$231,3,FALSE)</f>
        <v>Afrique du Nord</v>
      </c>
      <c r="C332" s="1" t="s">
        <v>11</v>
      </c>
      <c r="D332" s="1">
        <v>2018</v>
      </c>
      <c r="E332" s="7">
        <v>42106</v>
      </c>
      <c r="F332" s="7">
        <v>13838</v>
      </c>
      <c r="G332" s="4">
        <v>0.32864674868189808</v>
      </c>
    </row>
    <row r="333" spans="1:7" x14ac:dyDescent="0.3">
      <c r="A333" s="1" t="s">
        <v>533</v>
      </c>
      <c r="B333" s="1" t="str">
        <f>VLOOKUP(C333,'Code ONU'!$C$1:$E$231,3,FALSE)</f>
        <v>Europe occidentale</v>
      </c>
      <c r="C333" s="1" t="s">
        <v>175</v>
      </c>
      <c r="D333" s="1">
        <v>2018</v>
      </c>
      <c r="E333" s="7">
        <v>83253</v>
      </c>
      <c r="F333" s="7">
        <v>12385</v>
      </c>
      <c r="G333" s="4">
        <v>0.14876340792523993</v>
      </c>
    </row>
    <row r="334" spans="1:7" x14ac:dyDescent="0.3">
      <c r="A334" s="1" t="s">
        <v>478</v>
      </c>
      <c r="B334" s="1" t="str">
        <f>VLOOKUP(C334,'Code ONU'!$C$1:$E$231,3,FALSE)</f>
        <v>Europe occidentale</v>
      </c>
      <c r="C334" s="1" t="s">
        <v>17</v>
      </c>
      <c r="D334" s="1">
        <v>2018</v>
      </c>
      <c r="E334" s="7">
        <v>75</v>
      </c>
      <c r="F334" s="7">
        <v>52</v>
      </c>
      <c r="G334" s="4">
        <v>0.69333333333333336</v>
      </c>
    </row>
    <row r="335" spans="1:7" x14ac:dyDescent="0.3">
      <c r="A335" s="1" t="s">
        <v>481</v>
      </c>
      <c r="B335" s="1" t="str">
        <f>VLOOKUP(C335,'Code ONU'!$C$1:$E$231,3,FALSE)</f>
        <v>Moyen-Orient</v>
      </c>
      <c r="C335" s="1" t="s">
        <v>31</v>
      </c>
      <c r="D335" s="1">
        <v>2018</v>
      </c>
      <c r="E335" s="7">
        <v>2912</v>
      </c>
      <c r="F335" s="7">
        <v>10</v>
      </c>
      <c r="G335" s="4">
        <v>3.434065934065934E-3</v>
      </c>
    </row>
    <row r="336" spans="1:7" x14ac:dyDescent="0.3">
      <c r="A336" s="1" t="s">
        <v>483</v>
      </c>
      <c r="B336" s="1" t="str">
        <f>VLOOKUP(C336,'Code ONU'!$C$1:$E$231,3,FALSE)</f>
        <v>Europe occidentale</v>
      </c>
      <c r="C336" s="1" t="s">
        <v>38</v>
      </c>
      <c r="D336" s="1">
        <v>2018</v>
      </c>
      <c r="E336" s="7">
        <v>8823</v>
      </c>
      <c r="F336" s="7">
        <v>1141</v>
      </c>
      <c r="G336" s="4">
        <v>0.12932109259888927</v>
      </c>
    </row>
    <row r="337" spans="1:7" x14ac:dyDescent="0.3">
      <c r="A337" s="1" t="s">
        <v>488</v>
      </c>
      <c r="B337" s="1" t="str">
        <f>VLOOKUP(C337,'Code ONU'!$C$1:$E$231,3,FALSE)</f>
        <v>Europe occidentale</v>
      </c>
      <c r="C337" s="1" t="s">
        <v>52</v>
      </c>
      <c r="D337" s="1">
        <v>2018</v>
      </c>
      <c r="E337" s="7">
        <v>11400</v>
      </c>
      <c r="F337" s="7">
        <v>8604</v>
      </c>
      <c r="G337" s="4">
        <v>0.75473684210526315</v>
      </c>
    </row>
    <row r="338" spans="1:7" x14ac:dyDescent="0.3">
      <c r="A338" s="1" t="s">
        <v>489</v>
      </c>
      <c r="B338" s="1" t="str">
        <f>VLOOKUP(C338,'Code ONU'!$C$1:$E$231,3,FALSE)</f>
        <v>Afrique de l'Ouest</v>
      </c>
      <c r="C338" s="1" t="s">
        <v>56</v>
      </c>
      <c r="D338" s="1">
        <v>2018</v>
      </c>
      <c r="E338" s="7">
        <v>12212</v>
      </c>
      <c r="F338" s="7">
        <v>4062</v>
      </c>
      <c r="G338" s="4">
        <v>0.33262364886996398</v>
      </c>
    </row>
    <row r="339" spans="1:7" x14ac:dyDescent="0.3">
      <c r="A339" s="1" t="s">
        <v>493</v>
      </c>
      <c r="B339" s="1" t="str">
        <f>VLOOKUP(C339,'Code ONU'!$C$1:$E$231,3,FALSE)</f>
        <v>Europe centrale et orientale</v>
      </c>
      <c r="C339" s="1" t="s">
        <v>65</v>
      </c>
      <c r="D339" s="1">
        <v>2018</v>
      </c>
      <c r="E339" s="7">
        <v>3407</v>
      </c>
      <c r="F339" s="7">
        <v>27</v>
      </c>
      <c r="G339" s="4">
        <v>7.924860581156443E-3</v>
      </c>
    </row>
    <row r="340" spans="1:7" x14ac:dyDescent="0.3">
      <c r="A340" s="1" t="s">
        <v>497</v>
      </c>
      <c r="B340" s="1" t="str">
        <f>VLOOKUP(C340,'Code ONU'!$C$1:$E$231,3,FALSE)</f>
        <v>Europe centrale et orientale</v>
      </c>
      <c r="C340" s="1" t="s">
        <v>76</v>
      </c>
      <c r="D340" s="1">
        <v>2018</v>
      </c>
      <c r="E340" s="7">
        <v>7050</v>
      </c>
      <c r="F340" s="7">
        <v>164</v>
      </c>
      <c r="G340" s="4">
        <v>2.326241134751773E-2</v>
      </c>
    </row>
    <row r="341" spans="1:7" x14ac:dyDescent="0.3">
      <c r="A341" s="1" t="s">
        <v>77</v>
      </c>
      <c r="B341" s="1" t="str">
        <f>VLOOKUP(C341,'Code ONU'!$C$1:$E$231,3,FALSE)</f>
        <v>Afrique de l'Ouest</v>
      </c>
      <c r="C341" s="1" t="s">
        <v>78</v>
      </c>
      <c r="D341" s="1">
        <v>2018</v>
      </c>
      <c r="E341" s="7">
        <v>20172</v>
      </c>
      <c r="F341" s="7">
        <v>4853</v>
      </c>
      <c r="G341" s="4">
        <v>0.24058100337100932</v>
      </c>
    </row>
    <row r="342" spans="1:7" x14ac:dyDescent="0.3">
      <c r="A342" s="1" t="s">
        <v>79</v>
      </c>
      <c r="B342" s="1" t="str">
        <f>VLOOKUP(C342,'Code ONU'!$C$1:$E$231,3,FALSE)</f>
        <v>Afrique de l'Est</v>
      </c>
      <c r="C342" s="1" t="s">
        <v>80</v>
      </c>
      <c r="D342" s="1">
        <v>2018</v>
      </c>
      <c r="E342" s="7">
        <v>11650</v>
      </c>
      <c r="F342" s="7">
        <v>976</v>
      </c>
      <c r="G342" s="4">
        <v>8.3776824034334771E-2</v>
      </c>
    </row>
    <row r="343" spans="1:7" x14ac:dyDescent="0.3">
      <c r="A343" s="1" t="s">
        <v>82</v>
      </c>
      <c r="B343" s="1" t="str">
        <f>VLOOKUP(C343,'Code ONU'!$C$1:$E$231,3,FALSE)</f>
        <v>Afrique de l'Ouest</v>
      </c>
      <c r="C343" s="1" t="s">
        <v>83</v>
      </c>
      <c r="D343" s="1">
        <v>2018</v>
      </c>
      <c r="E343" s="7">
        <v>513</v>
      </c>
      <c r="F343" s="7">
        <v>56</v>
      </c>
      <c r="G343" s="4">
        <v>0.10916179337231968</v>
      </c>
    </row>
    <row r="344" spans="1:7" x14ac:dyDescent="0.3">
      <c r="A344" s="1" t="s">
        <v>498</v>
      </c>
      <c r="B344" s="1" t="str">
        <f>VLOOKUP(C344,'Code ONU'!$C$1:$E$231,3,FALSE)</f>
        <v>Asie</v>
      </c>
      <c r="C344" s="1" t="s">
        <v>85</v>
      </c>
      <c r="D344" s="1">
        <v>2018</v>
      </c>
      <c r="E344" s="7">
        <v>16178</v>
      </c>
      <c r="F344" s="7">
        <v>437</v>
      </c>
      <c r="G344" s="4">
        <v>2.7011991593522067E-2</v>
      </c>
    </row>
    <row r="345" spans="1:7" x14ac:dyDescent="0.3">
      <c r="A345" s="1" t="s">
        <v>499</v>
      </c>
      <c r="B345" s="1" t="str">
        <f>VLOOKUP(C345,'Code ONU'!$C$1:$E$231,3,FALSE)</f>
        <v>Afrique centrale</v>
      </c>
      <c r="C345" s="1" t="s">
        <v>87</v>
      </c>
      <c r="D345" s="1">
        <v>2018</v>
      </c>
      <c r="E345" s="7">
        <v>24458</v>
      </c>
      <c r="F345" s="7">
        <v>9917</v>
      </c>
      <c r="G345" s="4">
        <v>0.40547060266579443</v>
      </c>
    </row>
    <row r="346" spans="1:7" x14ac:dyDescent="0.3">
      <c r="A346" s="1" t="s">
        <v>88</v>
      </c>
      <c r="B346" s="1" t="str">
        <f>VLOOKUP(C346,'Code ONU'!$C$1:$E$231,3,FALSE)</f>
        <v>Amériques</v>
      </c>
      <c r="C346" s="1" t="s">
        <v>89</v>
      </c>
      <c r="D346" s="1">
        <v>2018</v>
      </c>
      <c r="E346" s="7">
        <v>37043</v>
      </c>
      <c r="F346" s="7">
        <v>10918</v>
      </c>
      <c r="G346" s="4">
        <v>0.29473854709391789</v>
      </c>
    </row>
    <row r="347" spans="1:7" x14ac:dyDescent="0.3">
      <c r="A347" s="1" t="s">
        <v>501</v>
      </c>
      <c r="B347" s="1" t="str">
        <f>VLOOKUP(C347,'Code ONU'!$C$1:$E$231,3,FALSE)</f>
        <v>Afrique centrale</v>
      </c>
      <c r="C347" s="1" t="s">
        <v>93</v>
      </c>
      <c r="D347" s="1">
        <v>2018</v>
      </c>
      <c r="E347" s="7">
        <v>4828</v>
      </c>
      <c r="F347" s="7">
        <v>1369</v>
      </c>
      <c r="G347" s="4">
        <v>0.28355426677713341</v>
      </c>
    </row>
    <row r="348" spans="1:7" x14ac:dyDescent="0.3">
      <c r="A348" s="1" t="s">
        <v>512</v>
      </c>
      <c r="B348" s="1" t="str">
        <f>VLOOKUP(C348,'Code ONU'!$C$1:$E$231,3,FALSE)</f>
        <v>Moyen-Orient</v>
      </c>
      <c r="C348" s="1" t="s">
        <v>123</v>
      </c>
      <c r="D348" s="1">
        <v>2018</v>
      </c>
      <c r="E348" s="7">
        <v>1263</v>
      </c>
      <c r="F348" s="7">
        <v>83</v>
      </c>
      <c r="G348" s="4">
        <v>6.5716547901821062E-2</v>
      </c>
    </row>
    <row r="349" spans="1:7" x14ac:dyDescent="0.3">
      <c r="A349" s="1" t="s">
        <v>507</v>
      </c>
      <c r="B349" s="1" t="str">
        <f>VLOOKUP(C349,'Code ONU'!$C$1:$E$231,3,FALSE)</f>
        <v>Amériques</v>
      </c>
      <c r="C349" s="1" t="s">
        <v>105</v>
      </c>
      <c r="D349" s="1">
        <v>2018</v>
      </c>
      <c r="E349" s="7">
        <v>48560</v>
      </c>
      <c r="F349" s="7"/>
      <c r="G349" s="4">
        <v>0</v>
      </c>
    </row>
    <row r="350" spans="1:7" x14ac:dyDescent="0.3">
      <c r="A350" s="1" t="s">
        <v>508</v>
      </c>
      <c r="B350" s="1" t="str">
        <f>VLOOKUP(C350,'Code ONU'!$C$1:$E$231,3,FALSE)</f>
        <v>Afrique australe et Océan Indien</v>
      </c>
      <c r="C350" s="1" t="s">
        <v>107</v>
      </c>
      <c r="D350" s="1">
        <v>2018</v>
      </c>
      <c r="E350" s="7">
        <v>764</v>
      </c>
      <c r="F350" s="7">
        <v>198</v>
      </c>
      <c r="G350" s="4">
        <v>0.25916230366492149</v>
      </c>
    </row>
    <row r="351" spans="1:7" x14ac:dyDescent="0.3">
      <c r="A351" s="1" t="s">
        <v>108</v>
      </c>
      <c r="B351" s="1" t="str">
        <f>VLOOKUP(C351,'Code ONU'!$C$1:$E$231,3,FALSE)</f>
        <v>Afrique centrale</v>
      </c>
      <c r="C351" s="1" t="s">
        <v>109</v>
      </c>
      <c r="D351" s="1">
        <v>2018</v>
      </c>
      <c r="E351" s="7">
        <v>5416</v>
      </c>
      <c r="F351" s="7">
        <v>3192</v>
      </c>
      <c r="G351" s="4">
        <v>0.58936484490398822</v>
      </c>
    </row>
    <row r="352" spans="1:7" x14ac:dyDescent="0.3">
      <c r="A352" s="1" t="s">
        <v>515</v>
      </c>
      <c r="B352" s="1" t="str">
        <f>VLOOKUP(C352,'Code ONU'!$C$1:$E$231,3,FALSE)</f>
        <v>Afrique centrale</v>
      </c>
      <c r="C352" s="1" t="s">
        <v>129</v>
      </c>
      <c r="D352" s="1">
        <v>2018</v>
      </c>
      <c r="E352" s="7">
        <v>88613</v>
      </c>
      <c r="F352" s="7">
        <v>44866</v>
      </c>
      <c r="G352" s="4">
        <v>0.50631397199056571</v>
      </c>
    </row>
    <row r="353" spans="1:7" x14ac:dyDescent="0.3">
      <c r="A353" s="1" t="s">
        <v>112</v>
      </c>
      <c r="B353" s="1" t="str">
        <f>VLOOKUP(C353,'Code ONU'!$C$1:$E$231,3,FALSE)</f>
        <v>Amériques</v>
      </c>
      <c r="C353" s="1" t="s">
        <v>113</v>
      </c>
      <c r="D353" s="1">
        <v>2018</v>
      </c>
      <c r="E353" s="7">
        <v>4936</v>
      </c>
      <c r="F353" s="7">
        <v>5</v>
      </c>
      <c r="G353" s="4">
        <v>1.012965964343598E-3</v>
      </c>
    </row>
    <row r="354" spans="1:7" x14ac:dyDescent="0.3">
      <c r="A354" s="1" t="s">
        <v>510</v>
      </c>
      <c r="B354" s="1" t="str">
        <f>VLOOKUP(C354,'Code ONU'!$C$1:$E$231,3,FALSE)</f>
        <v>Afrique de l'Ouest</v>
      </c>
      <c r="C354" s="1" t="s">
        <v>115</v>
      </c>
      <c r="D354" s="1">
        <v>2018</v>
      </c>
      <c r="E354" s="7">
        <v>27100</v>
      </c>
      <c r="F354" s="7">
        <v>8987</v>
      </c>
      <c r="G354" s="4">
        <v>0.33162361623616238</v>
      </c>
    </row>
    <row r="355" spans="1:7" x14ac:dyDescent="0.3">
      <c r="A355" s="1" t="s">
        <v>511</v>
      </c>
      <c r="B355" s="1" t="str">
        <f>VLOOKUP(C355,'Code ONU'!$C$1:$E$231,3,FALSE)</f>
        <v>Europe centrale et orientale</v>
      </c>
      <c r="C355" s="1" t="s">
        <v>117</v>
      </c>
      <c r="D355" s="1">
        <v>2018</v>
      </c>
      <c r="E355" s="7">
        <v>4047</v>
      </c>
      <c r="F355" s="7">
        <v>95</v>
      </c>
      <c r="G355" s="4">
        <v>2.3474178403755867E-2</v>
      </c>
    </row>
    <row r="356" spans="1:7" x14ac:dyDescent="0.3">
      <c r="A356" s="1" t="s">
        <v>516</v>
      </c>
      <c r="B356" s="1" t="str">
        <f>VLOOKUP(C356,'Code ONU'!$C$1:$E$231,3,FALSE)</f>
        <v>Europe occidentale</v>
      </c>
      <c r="C356" s="1" t="s">
        <v>131</v>
      </c>
      <c r="D356" s="1">
        <v>2018</v>
      </c>
      <c r="E356" s="7">
        <v>5781</v>
      </c>
      <c r="F356" s="7">
        <v>434</v>
      </c>
      <c r="G356" s="4">
        <v>7.5073516692613737E-2</v>
      </c>
    </row>
    <row r="357" spans="1:7" x14ac:dyDescent="0.3">
      <c r="A357" s="1" t="s">
        <v>132</v>
      </c>
      <c r="B357" s="1" t="str">
        <f>VLOOKUP(C357,'Code ONU'!$C$1:$E$231,3,FALSE)</f>
        <v>Afrique de l'Est</v>
      </c>
      <c r="C357" s="1" t="s">
        <v>133</v>
      </c>
      <c r="D357" s="1">
        <v>2018</v>
      </c>
      <c r="E357" s="7">
        <v>1063</v>
      </c>
      <c r="F357" s="7">
        <v>532</v>
      </c>
      <c r="G357" s="4">
        <v>0.50047036688617119</v>
      </c>
    </row>
    <row r="358" spans="1:7" x14ac:dyDescent="0.3">
      <c r="A358" s="1" t="s">
        <v>517</v>
      </c>
      <c r="B358" s="1" t="str">
        <f>VLOOKUP(C358,'Code ONU'!$C$1:$E$231,3,FALSE)</f>
        <v>Caraïbes</v>
      </c>
      <c r="C358" s="1" t="s">
        <v>135</v>
      </c>
      <c r="D358" s="1">
        <v>2018</v>
      </c>
      <c r="E358" s="7">
        <v>68</v>
      </c>
      <c r="F358" s="7">
        <v>7</v>
      </c>
      <c r="G358" s="4">
        <v>0.10294117647058823</v>
      </c>
    </row>
    <row r="359" spans="1:7" x14ac:dyDescent="0.3">
      <c r="A359" s="1" t="s">
        <v>520</v>
      </c>
      <c r="B359" s="1" t="str">
        <f>VLOOKUP(C359,'Code ONU'!$C$1:$E$231,3,FALSE)</f>
        <v>Afrique du Nord</v>
      </c>
      <c r="C359" s="1" t="s">
        <v>141</v>
      </c>
      <c r="D359" s="1">
        <v>2018</v>
      </c>
      <c r="E359" s="7">
        <v>104717</v>
      </c>
      <c r="F359" s="7">
        <v>3161</v>
      </c>
      <c r="G359" s="4">
        <v>3.0186120687185462E-2</v>
      </c>
    </row>
    <row r="360" spans="1:7" x14ac:dyDescent="0.3">
      <c r="A360" s="1" t="s">
        <v>639</v>
      </c>
      <c r="B360" s="1" t="str">
        <f>VLOOKUP(C360,'Code ONU'!$C$1:$E$231,3,FALSE)</f>
        <v>Moyen-Orient</v>
      </c>
      <c r="C360" s="1" t="s">
        <v>448</v>
      </c>
      <c r="D360" s="1">
        <v>2018</v>
      </c>
      <c r="E360" s="7">
        <v>9296</v>
      </c>
      <c r="F360" s="7">
        <v>244</v>
      </c>
      <c r="G360" s="4">
        <v>2.6247848537005163E-2</v>
      </c>
    </row>
    <row r="361" spans="1:7" x14ac:dyDescent="0.3">
      <c r="A361" s="1" t="s">
        <v>607</v>
      </c>
      <c r="B361" s="1" t="str">
        <f>VLOOKUP(C361,'Code ONU'!$C$1:$E$231,3,FALSE)</f>
        <v>Europe occidentale</v>
      </c>
      <c r="C361" s="1" t="s">
        <v>404</v>
      </c>
      <c r="D361" s="1">
        <v>2018</v>
      </c>
      <c r="E361" s="7">
        <v>46952</v>
      </c>
      <c r="F361" s="7">
        <v>5509</v>
      </c>
      <c r="G361" s="4">
        <v>0.11733259499062873</v>
      </c>
    </row>
    <row r="362" spans="1:7" x14ac:dyDescent="0.3">
      <c r="A362" s="1" t="s">
        <v>523</v>
      </c>
      <c r="B362" s="1" t="str">
        <f>VLOOKUP(C362,'Code ONU'!$C$1:$E$231,3,FALSE)</f>
        <v>Europe occidentale</v>
      </c>
      <c r="C362" s="1" t="s">
        <v>149</v>
      </c>
      <c r="D362" s="1">
        <v>2018</v>
      </c>
      <c r="E362" s="7">
        <v>1319</v>
      </c>
      <c r="F362" s="7">
        <v>19</v>
      </c>
      <c r="G362" s="4">
        <v>1.4404852160727824E-2</v>
      </c>
    </row>
    <row r="363" spans="1:7" x14ac:dyDescent="0.3">
      <c r="A363" s="1" t="s">
        <v>640</v>
      </c>
      <c r="B363" s="1" t="str">
        <f>VLOOKUP(C363,'Code ONU'!$C$1:$E$231,3,FALSE)</f>
        <v>Amériques</v>
      </c>
      <c r="C363" s="1" t="s">
        <v>454</v>
      </c>
      <c r="D363" s="1">
        <v>2018</v>
      </c>
      <c r="E363" s="7">
        <v>333675</v>
      </c>
      <c r="F363" s="7">
        <v>2172</v>
      </c>
      <c r="G363" s="4">
        <v>6.5093279388626661E-3</v>
      </c>
    </row>
    <row r="364" spans="1:7" x14ac:dyDescent="0.3">
      <c r="A364" s="1" t="s">
        <v>587</v>
      </c>
      <c r="B364" s="1" t="str">
        <f>VLOOKUP(C364,'Code ONU'!$C$1:$E$231,3,FALSE)</f>
        <v>Europe centrale et orientale</v>
      </c>
      <c r="C364" s="1" t="s">
        <v>356</v>
      </c>
      <c r="D364" s="1">
        <v>2018</v>
      </c>
      <c r="E364" s="7">
        <v>146349</v>
      </c>
      <c r="F364" s="7">
        <v>631</v>
      </c>
      <c r="G364" s="4">
        <v>4.3116112853521377E-3</v>
      </c>
    </row>
    <row r="365" spans="1:7" x14ac:dyDescent="0.3">
      <c r="A365" s="1" t="s">
        <v>528</v>
      </c>
      <c r="B365" s="1" t="str">
        <f>VLOOKUP(C365,'Code ONU'!$C$1:$E$231,3,FALSE)</f>
        <v>Europe occidentale</v>
      </c>
      <c r="C365" s="1" t="s">
        <v>161</v>
      </c>
      <c r="D365" s="1">
        <v>2018</v>
      </c>
      <c r="E365" s="7">
        <v>5513</v>
      </c>
      <c r="F365" s="7">
        <v>433</v>
      </c>
      <c r="G365" s="4">
        <v>7.8541628877199343E-2</v>
      </c>
    </row>
    <row r="366" spans="1:7" x14ac:dyDescent="0.3">
      <c r="A366" s="1" t="s">
        <v>162</v>
      </c>
      <c r="B366" s="1" t="str">
        <f>VLOOKUP(C366,'Code ONU'!$C$1:$E$231,3,FALSE)</f>
        <v>Europe occidentale</v>
      </c>
      <c r="C366" s="1" t="s">
        <v>163</v>
      </c>
      <c r="D366" s="1">
        <v>2018</v>
      </c>
      <c r="E366" s="7">
        <v>65397</v>
      </c>
      <c r="F366" s="7">
        <v>63537</v>
      </c>
      <c r="G366" s="4">
        <v>0.97155832836368639</v>
      </c>
    </row>
    <row r="367" spans="1:7" x14ac:dyDescent="0.3">
      <c r="A367" s="1" t="s">
        <v>168</v>
      </c>
      <c r="B367" s="1" t="str">
        <f>VLOOKUP(C367,'Code ONU'!$C$1:$E$231,3,FALSE)</f>
        <v>Afrique centrale</v>
      </c>
      <c r="C367" s="1" t="s">
        <v>169</v>
      </c>
      <c r="D367" s="1">
        <v>2018</v>
      </c>
      <c r="E367" s="7">
        <v>2185</v>
      </c>
      <c r="F367" s="7">
        <v>1445</v>
      </c>
      <c r="G367" s="4">
        <v>0.66132723112128144</v>
      </c>
    </row>
    <row r="368" spans="1:7" x14ac:dyDescent="0.3">
      <c r="A368" s="1" t="s">
        <v>531</v>
      </c>
      <c r="B368" s="1" t="str">
        <f>VLOOKUP(C368,'Code ONU'!$C$1:$E$231,3,FALSE)</f>
        <v>Afrique de l'Ouest</v>
      </c>
      <c r="C368" s="1" t="s">
        <v>171</v>
      </c>
      <c r="D368" s="1">
        <v>2018</v>
      </c>
      <c r="E368" s="7">
        <v>2371</v>
      </c>
      <c r="F368" s="7"/>
      <c r="G368" s="4">
        <v>0</v>
      </c>
    </row>
    <row r="369" spans="1:7" x14ac:dyDescent="0.3">
      <c r="A369" s="1" t="s">
        <v>532</v>
      </c>
      <c r="B369" s="1" t="str">
        <f>VLOOKUP(C369,'Code ONU'!$C$1:$E$231,3,FALSE)</f>
        <v>Moyen-Orient</v>
      </c>
      <c r="C369" s="1" t="s">
        <v>173</v>
      </c>
      <c r="D369" s="1">
        <v>2018</v>
      </c>
      <c r="E369" s="7">
        <v>3793</v>
      </c>
      <c r="F369" s="7">
        <v>16</v>
      </c>
      <c r="G369" s="4">
        <v>4.2182968626417088E-3</v>
      </c>
    </row>
    <row r="370" spans="1:7" x14ac:dyDescent="0.3">
      <c r="A370" s="1" t="s">
        <v>176</v>
      </c>
      <c r="B370" s="1" t="str">
        <f>VLOOKUP(C370,'Code ONU'!$C$1:$E$231,3,FALSE)</f>
        <v>Afrique de l'Ouest</v>
      </c>
      <c r="C370" s="1" t="s">
        <v>177</v>
      </c>
      <c r="D370" s="1">
        <v>2018</v>
      </c>
      <c r="E370" s="7">
        <v>30327</v>
      </c>
      <c r="F370" s="7">
        <v>251</v>
      </c>
      <c r="G370" s="4">
        <v>8.2764533254195936E-3</v>
      </c>
    </row>
    <row r="371" spans="1:7" x14ac:dyDescent="0.3">
      <c r="A371" s="1" t="s">
        <v>534</v>
      </c>
      <c r="B371" s="1" t="str">
        <f>VLOOKUP(C371,'Code ONU'!$C$1:$E$231,3,FALSE)</f>
        <v>Europe occidentale</v>
      </c>
      <c r="C371" s="1" t="s">
        <v>181</v>
      </c>
      <c r="D371" s="1">
        <v>2018</v>
      </c>
      <c r="E371" s="7">
        <v>10740</v>
      </c>
      <c r="F371" s="7">
        <v>774</v>
      </c>
      <c r="G371" s="4">
        <v>7.2067039106145245E-2</v>
      </c>
    </row>
    <row r="372" spans="1:7" x14ac:dyDescent="0.3">
      <c r="A372" s="1" t="s">
        <v>186</v>
      </c>
      <c r="B372" s="1" t="str">
        <f>VLOOKUP(C372,'Code ONU'!$C$1:$E$231,3,FALSE)</f>
        <v>Caraïbes</v>
      </c>
      <c r="C372" s="1" t="s">
        <v>187</v>
      </c>
      <c r="D372" s="1">
        <v>2018</v>
      </c>
      <c r="E372" s="7">
        <v>418</v>
      </c>
      <c r="F372" s="7">
        <v>351</v>
      </c>
      <c r="G372" s="4">
        <v>0.83971291866028708</v>
      </c>
    </row>
    <row r="373" spans="1:7" x14ac:dyDescent="0.3">
      <c r="A373" s="1" t="s">
        <v>537</v>
      </c>
      <c r="B373" s="1" t="str">
        <f>VLOOKUP(C373,'Code ONU'!$C$1:$E$231,3,FALSE)</f>
        <v>Afrique de l'Ouest</v>
      </c>
      <c r="C373" s="1" t="s">
        <v>193</v>
      </c>
      <c r="D373" s="1">
        <v>2018</v>
      </c>
      <c r="E373" s="7">
        <v>12543</v>
      </c>
      <c r="F373" s="7">
        <v>3189</v>
      </c>
      <c r="G373" s="4">
        <v>0.25424539583831618</v>
      </c>
    </row>
    <row r="374" spans="1:7" x14ac:dyDescent="0.3">
      <c r="A374" s="1" t="s">
        <v>521</v>
      </c>
      <c r="B374" s="1" t="str">
        <f>VLOOKUP(C374,'Code ONU'!$C$1:$E$231,3,FALSE)</f>
        <v>Afrique centrale</v>
      </c>
      <c r="C374" s="1" t="s">
        <v>145</v>
      </c>
      <c r="D374" s="1">
        <v>2018</v>
      </c>
      <c r="E374" s="7">
        <v>1589</v>
      </c>
      <c r="F374" s="7">
        <v>460</v>
      </c>
      <c r="G374" s="4">
        <v>0.289490245437382</v>
      </c>
    </row>
    <row r="375" spans="1:7" x14ac:dyDescent="0.3">
      <c r="A375" s="1" t="s">
        <v>538</v>
      </c>
      <c r="B375" s="1" t="str">
        <f>VLOOKUP(C375,'Code ONU'!$C$1:$E$231,3,FALSE)</f>
        <v>Afrique de l'Ouest</v>
      </c>
      <c r="C375" s="1" t="s">
        <v>195</v>
      </c>
      <c r="D375" s="1">
        <v>2018</v>
      </c>
      <c r="E375" s="7">
        <v>1900</v>
      </c>
      <c r="F375" s="7">
        <v>292</v>
      </c>
      <c r="G375" s="4">
        <v>0.15368421052631578</v>
      </c>
    </row>
    <row r="376" spans="1:7" x14ac:dyDescent="0.3">
      <c r="A376" s="1" t="s">
        <v>529</v>
      </c>
      <c r="B376" s="1" t="str">
        <f>VLOOKUP(C376,'Code ONU'!$C$1:$E$231,3,FALSE)</f>
        <v>Amériques</v>
      </c>
      <c r="C376" s="1" t="s">
        <v>165</v>
      </c>
      <c r="D376" s="1">
        <v>2018</v>
      </c>
      <c r="E376" s="7">
        <v>279</v>
      </c>
      <c r="F376" s="7">
        <v>173</v>
      </c>
      <c r="G376" s="4">
        <v>0.62007168458781359</v>
      </c>
    </row>
    <row r="377" spans="1:7" x14ac:dyDescent="0.3">
      <c r="A377" s="1" t="s">
        <v>539</v>
      </c>
      <c r="B377" s="1" t="str">
        <f>VLOOKUP(C377,'Code ONU'!$C$1:$E$231,3,FALSE)</f>
        <v>Caraïbes</v>
      </c>
      <c r="C377" s="1" t="s">
        <v>199</v>
      </c>
      <c r="D377" s="1">
        <v>2018</v>
      </c>
      <c r="E377" s="7">
        <v>10891</v>
      </c>
      <c r="F377" s="7">
        <v>4574</v>
      </c>
      <c r="G377" s="4">
        <v>0.41997979983472594</v>
      </c>
    </row>
    <row r="378" spans="1:7" x14ac:dyDescent="0.3">
      <c r="A378" s="1" t="s">
        <v>540</v>
      </c>
      <c r="B378" s="1" t="str">
        <f>VLOOKUP(C378,'Code ONU'!$C$1:$E$231,3,FALSE)</f>
        <v>Europe centrale et orientale</v>
      </c>
      <c r="C378" s="1" t="s">
        <v>203</v>
      </c>
      <c r="D378" s="1">
        <v>2018</v>
      </c>
      <c r="E378" s="7">
        <v>9777</v>
      </c>
      <c r="F378" s="7">
        <v>115</v>
      </c>
      <c r="G378" s="4">
        <v>1.1762299273805871E-2</v>
      </c>
    </row>
    <row r="379" spans="1:7" x14ac:dyDescent="0.3">
      <c r="A379" s="1" t="s">
        <v>629</v>
      </c>
      <c r="B379" s="1" t="str">
        <f>VLOOKUP(C379,'Code ONU'!$C$1:$E$231,3,FALSE)</f>
        <v>Océanie</v>
      </c>
      <c r="C379" s="1" t="s">
        <v>468</v>
      </c>
      <c r="D379" s="1">
        <v>2018</v>
      </c>
      <c r="E379" s="7">
        <v>12</v>
      </c>
      <c r="F379" s="7">
        <v>10</v>
      </c>
      <c r="G379" s="4">
        <v>0.83333333333333337</v>
      </c>
    </row>
    <row r="380" spans="1:7" x14ac:dyDescent="0.3">
      <c r="A380" s="1" t="s">
        <v>545</v>
      </c>
      <c r="B380" s="1" t="str">
        <f>VLOOKUP(C380,'Code ONU'!$C$1:$E$231,3,FALSE)</f>
        <v>Europe occidentale</v>
      </c>
      <c r="C380" s="1" t="s">
        <v>215</v>
      </c>
      <c r="D380" s="1">
        <v>2018</v>
      </c>
      <c r="E380" s="7">
        <v>4841</v>
      </c>
      <c r="F380" s="7">
        <v>603</v>
      </c>
      <c r="G380" s="4">
        <v>0.12456104110720925</v>
      </c>
    </row>
    <row r="381" spans="1:7" x14ac:dyDescent="0.3">
      <c r="A381" s="1" t="s">
        <v>547</v>
      </c>
      <c r="B381" s="1" t="str">
        <f>VLOOKUP(C381,'Code ONU'!$C$1:$E$231,3,FALSE)</f>
        <v>Moyen-Orient</v>
      </c>
      <c r="C381" s="1" t="s">
        <v>219</v>
      </c>
      <c r="D381" s="1">
        <v>2018</v>
      </c>
      <c r="E381" s="7">
        <v>8436</v>
      </c>
      <c r="F381" s="7">
        <v>499</v>
      </c>
      <c r="G381" s="4">
        <v>5.9151256519677571E-2</v>
      </c>
    </row>
    <row r="382" spans="1:7" x14ac:dyDescent="0.3">
      <c r="A382" s="1" t="s">
        <v>548</v>
      </c>
      <c r="B382" s="1" t="str">
        <f>VLOOKUP(C382,'Code ONU'!$C$1:$E$231,3,FALSE)</f>
        <v>Europe occidentale</v>
      </c>
      <c r="C382" s="1" t="s">
        <v>221</v>
      </c>
      <c r="D382" s="1">
        <v>2018</v>
      </c>
      <c r="E382" s="7">
        <v>60336</v>
      </c>
      <c r="F382" s="7">
        <v>11723</v>
      </c>
      <c r="G382" s="4">
        <v>0.19429527976664016</v>
      </c>
    </row>
    <row r="383" spans="1:7" x14ac:dyDescent="0.3">
      <c r="A383" s="1" t="s">
        <v>554</v>
      </c>
      <c r="B383" s="1" t="str">
        <f>VLOOKUP(C383,'Code ONU'!$C$1:$E$231,3,FALSE)</f>
        <v>Asie</v>
      </c>
      <c r="C383" s="1" t="s">
        <v>241</v>
      </c>
      <c r="D383" s="1">
        <v>2018</v>
      </c>
      <c r="E383" s="7">
        <v>7073</v>
      </c>
      <c r="F383" s="7">
        <v>193</v>
      </c>
      <c r="G383" s="4">
        <v>2.7286865545030396E-2</v>
      </c>
    </row>
    <row r="384" spans="1:7" x14ac:dyDescent="0.3">
      <c r="A384" s="1" t="s">
        <v>555</v>
      </c>
      <c r="B384" s="1" t="str">
        <f>VLOOKUP(C384,'Code ONU'!$C$1:$E$231,3,FALSE)</f>
        <v>Europe occidentale</v>
      </c>
      <c r="C384" s="1" t="s">
        <v>243</v>
      </c>
      <c r="D384" s="1">
        <v>2018</v>
      </c>
      <c r="E384" s="7">
        <v>1935</v>
      </c>
      <c r="F384" s="7">
        <v>22</v>
      </c>
      <c r="G384" s="4">
        <v>1.1369509043927648E-2</v>
      </c>
    </row>
    <row r="385" spans="1:7" x14ac:dyDescent="0.3">
      <c r="A385" s="1" t="s">
        <v>556</v>
      </c>
      <c r="B385" s="1" t="str">
        <f>VLOOKUP(C385,'Code ONU'!$C$1:$E$231,3,FALSE)</f>
        <v>Moyen-Orient</v>
      </c>
      <c r="C385" s="1" t="s">
        <v>245</v>
      </c>
      <c r="D385" s="1">
        <v>2018</v>
      </c>
      <c r="E385" s="7">
        <v>6075</v>
      </c>
      <c r="F385" s="7">
        <v>2308</v>
      </c>
      <c r="G385" s="4">
        <v>0.37991769547325105</v>
      </c>
    </row>
    <row r="386" spans="1:7" x14ac:dyDescent="0.3">
      <c r="A386" s="1" t="s">
        <v>559</v>
      </c>
      <c r="B386" s="1" t="str">
        <f>VLOOKUP(C386,'Code ONU'!$C$1:$E$231,3,FALSE)</f>
        <v>Europe occidentale</v>
      </c>
      <c r="C386" s="1" t="s">
        <v>255</v>
      </c>
      <c r="D386" s="1">
        <v>2018</v>
      </c>
      <c r="E386" s="7">
        <v>2810</v>
      </c>
      <c r="F386" s="7">
        <v>67</v>
      </c>
      <c r="G386" s="4">
        <v>2.384341637010676E-2</v>
      </c>
    </row>
    <row r="387" spans="1:7" x14ac:dyDescent="0.3">
      <c r="A387" s="1" t="s">
        <v>256</v>
      </c>
      <c r="B387" s="1" t="str">
        <f>VLOOKUP(C387,'Code ONU'!$C$1:$E$231,3,FALSE)</f>
        <v>Europe occidentale</v>
      </c>
      <c r="C387" s="1" t="s">
        <v>257</v>
      </c>
      <c r="D387" s="1">
        <v>2018</v>
      </c>
      <c r="E387" s="7">
        <v>602</v>
      </c>
      <c r="F387" s="7">
        <v>554</v>
      </c>
      <c r="G387" s="4">
        <v>0.92026578073089704</v>
      </c>
    </row>
    <row r="388" spans="1:7" x14ac:dyDescent="0.3">
      <c r="A388" s="1" t="s">
        <v>577</v>
      </c>
      <c r="B388" s="1" t="str">
        <f>VLOOKUP(C388,'Code ONU'!$C$1:$E$231,3,FALSE)</f>
        <v>Europe centrale et orientale</v>
      </c>
      <c r="C388" s="1" t="s">
        <v>319</v>
      </c>
      <c r="D388" s="1">
        <v>2018</v>
      </c>
      <c r="E388" s="7">
        <v>1930</v>
      </c>
      <c r="F388" s="7">
        <v>40</v>
      </c>
      <c r="G388" s="4">
        <v>2.072538860103627E-2</v>
      </c>
    </row>
    <row r="389" spans="1:7" x14ac:dyDescent="0.3">
      <c r="A389" s="1" t="s">
        <v>258</v>
      </c>
      <c r="B389" s="1" t="str">
        <f>VLOOKUP(C389,'Code ONU'!$C$1:$E$231,3,FALSE)</f>
        <v>Afrique australe et Océan Indien</v>
      </c>
      <c r="C389" s="1" t="s">
        <v>259</v>
      </c>
      <c r="D389" s="1">
        <v>2018</v>
      </c>
      <c r="E389" s="7">
        <v>27137</v>
      </c>
      <c r="F389" s="7">
        <v>5427</v>
      </c>
      <c r="G389" s="4">
        <v>0.19998525997715297</v>
      </c>
    </row>
    <row r="390" spans="1:7" x14ac:dyDescent="0.3">
      <c r="A390" s="1" t="s">
        <v>266</v>
      </c>
      <c r="B390" s="1" t="str">
        <f>VLOOKUP(C390,'Code ONU'!$C$1:$E$231,3,FALSE)</f>
        <v>Afrique de l'Ouest</v>
      </c>
      <c r="C390" s="1" t="s">
        <v>267</v>
      </c>
      <c r="D390" s="1">
        <v>2018</v>
      </c>
      <c r="E390" s="7">
        <v>20127</v>
      </c>
      <c r="F390" s="7">
        <v>3409</v>
      </c>
      <c r="G390" s="4">
        <v>0.16937447210215134</v>
      </c>
    </row>
    <row r="391" spans="1:7" x14ac:dyDescent="0.3">
      <c r="A391" s="1" t="s">
        <v>561</v>
      </c>
      <c r="B391" s="1" t="str">
        <f>VLOOKUP(C391,'Code ONU'!$C$1:$E$231,3,FALSE)</f>
        <v>Europe occidentale</v>
      </c>
      <c r="C391" s="1" t="s">
        <v>269</v>
      </c>
      <c r="D391" s="1">
        <v>2018</v>
      </c>
      <c r="E391" s="7">
        <v>476</v>
      </c>
      <c r="F391" s="7">
        <v>63</v>
      </c>
      <c r="G391" s="4">
        <v>0.13235294117647059</v>
      </c>
    </row>
    <row r="392" spans="1:7" x14ac:dyDescent="0.3">
      <c r="A392" s="1" t="s">
        <v>569</v>
      </c>
      <c r="B392" s="1" t="str">
        <f>VLOOKUP(C392,'Code ONU'!$C$1:$E$231,3,FALSE)</f>
        <v>Afrique du Nord</v>
      </c>
      <c r="C392" s="1" t="s">
        <v>293</v>
      </c>
      <c r="D392" s="1">
        <v>2018</v>
      </c>
      <c r="E392" s="7">
        <v>35652</v>
      </c>
      <c r="F392" s="7">
        <v>12539</v>
      </c>
      <c r="G392" s="4">
        <v>0.35170537417255693</v>
      </c>
    </row>
    <row r="393" spans="1:7" x14ac:dyDescent="0.3">
      <c r="A393" s="1" t="s">
        <v>272</v>
      </c>
      <c r="B393" s="1" t="str">
        <f>VLOOKUP(C393,'Code ONU'!$C$1:$E$231,3,FALSE)</f>
        <v>Caraïbes</v>
      </c>
      <c r="C393" s="1" t="s">
        <v>273</v>
      </c>
      <c r="D393" s="1">
        <v>2018</v>
      </c>
      <c r="E393" s="7">
        <v>367</v>
      </c>
      <c r="F393" s="7">
        <v>297</v>
      </c>
      <c r="G393" s="4">
        <v>0.80926430517711168</v>
      </c>
    </row>
    <row r="394" spans="1:7" x14ac:dyDescent="0.3">
      <c r="A394" s="1" t="s">
        <v>272</v>
      </c>
      <c r="B394" s="1" t="str">
        <f>VLOOKUP(C394,'Code ONU'!$C$1:$E$231,3,FALSE)</f>
        <v>Caraïbes</v>
      </c>
      <c r="C394" s="1" t="s">
        <v>273</v>
      </c>
      <c r="D394" s="1">
        <v>2018</v>
      </c>
      <c r="E394" s="7">
        <v>37</v>
      </c>
      <c r="F394" s="7"/>
      <c r="G394" s="4">
        <v>0</v>
      </c>
    </row>
    <row r="395" spans="1:7" x14ac:dyDescent="0.3">
      <c r="A395" s="1" t="s">
        <v>564</v>
      </c>
      <c r="B395" s="1" t="str">
        <f>VLOOKUP(C395,'Code ONU'!$C$1:$E$231,3,FALSE)</f>
        <v>Afrique australe et Océan Indien</v>
      </c>
      <c r="C395" s="1" t="s">
        <v>277</v>
      </c>
      <c r="D395" s="1">
        <v>2018</v>
      </c>
      <c r="E395" s="7">
        <v>1290</v>
      </c>
      <c r="F395" s="7">
        <v>937</v>
      </c>
      <c r="G395" s="4">
        <v>0.72635658914728685</v>
      </c>
    </row>
    <row r="396" spans="1:7" x14ac:dyDescent="0.3">
      <c r="A396" s="1" t="s">
        <v>563</v>
      </c>
      <c r="B396" s="1" t="str">
        <f>VLOOKUP(C396,'Code ONU'!$C$1:$E$231,3,FALSE)</f>
        <v>Afrique du Nord</v>
      </c>
      <c r="C396" s="1" t="s">
        <v>275</v>
      </c>
      <c r="D396" s="1">
        <v>2018</v>
      </c>
      <c r="E396" s="7">
        <v>4273</v>
      </c>
      <c r="F396" s="7">
        <v>568</v>
      </c>
      <c r="G396" s="4">
        <v>0.1329276854668851</v>
      </c>
    </row>
    <row r="397" spans="1:7" x14ac:dyDescent="0.3">
      <c r="A397" s="1" t="s">
        <v>278</v>
      </c>
      <c r="B397" s="1" t="str">
        <f>VLOOKUP(C397,'Code ONU'!$C$1:$E$231,3,FALSE)</f>
        <v>Afrique australe et Océan Indien</v>
      </c>
      <c r="C397" s="1" t="s">
        <v>279</v>
      </c>
      <c r="D397" s="1">
        <v>2018</v>
      </c>
      <c r="E397" s="7">
        <v>269</v>
      </c>
      <c r="F397" s="7">
        <v>170</v>
      </c>
      <c r="G397" s="4">
        <v>0.63197026022304836</v>
      </c>
    </row>
    <row r="398" spans="1:7" x14ac:dyDescent="0.3">
      <c r="A398" s="1" t="s">
        <v>565</v>
      </c>
      <c r="B398" s="1" t="str">
        <f>VLOOKUP(C398,'Code ONU'!$C$1:$E$231,3,FALSE)</f>
        <v>Amériques</v>
      </c>
      <c r="C398" s="1" t="s">
        <v>281</v>
      </c>
      <c r="D398" s="1">
        <v>2018</v>
      </c>
      <c r="E398" s="7">
        <v>123978</v>
      </c>
      <c r="F398" s="7">
        <v>28</v>
      </c>
      <c r="G398" s="4">
        <v>2.2584652115697948E-4</v>
      </c>
    </row>
    <row r="399" spans="1:7" x14ac:dyDescent="0.3">
      <c r="A399" s="1" t="s">
        <v>585</v>
      </c>
      <c r="B399" s="1" t="str">
        <f>VLOOKUP(C399,'Code ONU'!$C$1:$E$231,3,FALSE)</f>
        <v>Europe centrale et orientale</v>
      </c>
      <c r="C399" s="1" t="s">
        <v>350</v>
      </c>
      <c r="D399" s="1">
        <v>2018</v>
      </c>
      <c r="E399" s="7">
        <v>3172</v>
      </c>
      <c r="F399" s="7">
        <v>43</v>
      </c>
      <c r="G399" s="4">
        <v>1.3556116015132409E-2</v>
      </c>
    </row>
    <row r="400" spans="1:7" x14ac:dyDescent="0.3">
      <c r="A400" s="1" t="s">
        <v>284</v>
      </c>
      <c r="B400" s="1" t="str">
        <f>VLOOKUP(C400,'Code ONU'!$C$1:$E$231,3,FALSE)</f>
        <v>Europe occidentale</v>
      </c>
      <c r="C400" s="1" t="s">
        <v>285</v>
      </c>
      <c r="D400" s="1">
        <v>2018</v>
      </c>
      <c r="E400" s="7">
        <v>38</v>
      </c>
      <c r="F400" s="7">
        <v>37</v>
      </c>
      <c r="G400" s="4">
        <v>0.97368421052631582</v>
      </c>
    </row>
    <row r="401" spans="1:7" x14ac:dyDescent="0.3">
      <c r="A401" s="1" t="s">
        <v>568</v>
      </c>
      <c r="B401" s="1" t="str">
        <f>VLOOKUP(C401,'Code ONU'!$C$1:$E$231,3,FALSE)</f>
        <v>Europe centrale et orientale</v>
      </c>
      <c r="C401" s="1" t="s">
        <v>289</v>
      </c>
      <c r="D401" s="1">
        <v>2018</v>
      </c>
      <c r="E401" s="7">
        <v>618</v>
      </c>
      <c r="F401" s="7">
        <v>13</v>
      </c>
      <c r="G401" s="4">
        <v>2.1035598705501618E-2</v>
      </c>
    </row>
    <row r="402" spans="1:7" x14ac:dyDescent="0.3">
      <c r="A402" s="1" t="s">
        <v>294</v>
      </c>
      <c r="B402" s="1" t="str">
        <f>VLOOKUP(C402,'Code ONU'!$C$1:$E$231,3,FALSE)</f>
        <v>Afrique de l'Est</v>
      </c>
      <c r="C402" s="1" t="s">
        <v>295</v>
      </c>
      <c r="D402" s="1">
        <v>2018</v>
      </c>
      <c r="E402" s="7">
        <v>28592</v>
      </c>
      <c r="F402" s="7">
        <v>85</v>
      </c>
      <c r="G402" s="4">
        <v>2.9728595411303862E-3</v>
      </c>
    </row>
    <row r="403" spans="1:7" x14ac:dyDescent="0.3">
      <c r="A403" s="1" t="s">
        <v>312</v>
      </c>
      <c r="B403" s="1" t="str">
        <f>VLOOKUP(C403,'Code ONU'!$C$1:$E$231,3,FALSE)</f>
        <v>Afrique de l'Ouest</v>
      </c>
      <c r="C403" s="1" t="s">
        <v>313</v>
      </c>
      <c r="D403" s="1">
        <v>2018</v>
      </c>
      <c r="E403" s="7">
        <v>21808</v>
      </c>
      <c r="F403" s="7">
        <v>2776</v>
      </c>
      <c r="G403" s="4">
        <v>0.12729273661041821</v>
      </c>
    </row>
    <row r="404" spans="1:7" x14ac:dyDescent="0.3">
      <c r="A404" s="1" t="s">
        <v>579</v>
      </c>
      <c r="B404" s="1" t="str">
        <f>VLOOKUP(C404,'Code ONU'!$C$1:$E$231,3,FALSE)</f>
        <v>Europe occidentale</v>
      </c>
      <c r="C404" s="1" t="s">
        <v>323</v>
      </c>
      <c r="D404" s="1">
        <v>2018</v>
      </c>
      <c r="E404" s="7">
        <v>5295</v>
      </c>
      <c r="F404" s="7">
        <v>161</v>
      </c>
      <c r="G404" s="4">
        <v>3.0406043437204912E-2</v>
      </c>
    </row>
    <row r="405" spans="1:7" x14ac:dyDescent="0.3">
      <c r="A405" s="1" t="s">
        <v>573</v>
      </c>
      <c r="B405" s="1" t="str">
        <f>VLOOKUP(C405,'Code ONU'!$C$1:$E$231,3,FALSE)</f>
        <v>Océanie</v>
      </c>
      <c r="C405" s="1" t="s">
        <v>307</v>
      </c>
      <c r="D405" s="1">
        <v>2018</v>
      </c>
      <c r="E405" s="7">
        <v>284</v>
      </c>
      <c r="F405" s="7">
        <v>280</v>
      </c>
      <c r="G405" s="4">
        <v>0.9859154929577465</v>
      </c>
    </row>
    <row r="406" spans="1:7" x14ac:dyDescent="0.3">
      <c r="A406" s="1" t="s">
        <v>334</v>
      </c>
      <c r="B406" s="1" t="str">
        <f>VLOOKUP(C406,'Code ONU'!$C$1:$E$231,3,FALSE)</f>
        <v>Amériques</v>
      </c>
      <c r="C406" s="1" t="s">
        <v>335</v>
      </c>
      <c r="D406" s="1">
        <v>2018</v>
      </c>
      <c r="E406" s="7">
        <v>6383</v>
      </c>
      <c r="F406" s="7"/>
      <c r="G406" s="4">
        <v>0</v>
      </c>
    </row>
    <row r="407" spans="1:7" x14ac:dyDescent="0.3">
      <c r="A407" s="1" t="s">
        <v>572</v>
      </c>
      <c r="B407" s="1" t="str">
        <f>VLOOKUP(C407,'Code ONU'!$C$1:$E$231,3,FALSE)</f>
        <v>Europe occidentale</v>
      </c>
      <c r="C407" s="1" t="s">
        <v>305</v>
      </c>
      <c r="D407" s="1">
        <v>2018</v>
      </c>
      <c r="E407" s="7">
        <v>17369</v>
      </c>
      <c r="F407" s="7">
        <v>3283</v>
      </c>
      <c r="G407" s="4">
        <v>0.18901491162415798</v>
      </c>
    </row>
    <row r="408" spans="1:7" x14ac:dyDescent="0.3">
      <c r="A408" s="1" t="s">
        <v>583</v>
      </c>
      <c r="B408" s="1" t="str">
        <f>VLOOKUP(C408,'Code ONU'!$C$1:$E$231,3,FALSE)</f>
        <v>Europe centrale et orientale</v>
      </c>
      <c r="C408" s="1" t="s">
        <v>341</v>
      </c>
      <c r="D408" s="1">
        <v>2018</v>
      </c>
      <c r="E408" s="7">
        <v>38249</v>
      </c>
      <c r="F408" s="7">
        <v>952</v>
      </c>
      <c r="G408" s="4">
        <v>2.4889539595806427E-2</v>
      </c>
    </row>
    <row r="409" spans="1:7" x14ac:dyDescent="0.3">
      <c r="A409" s="1" t="s">
        <v>530</v>
      </c>
      <c r="B409" s="1" t="str">
        <f>VLOOKUP(C409,'Code ONU'!$C$1:$E$231,3,FALSE)</f>
        <v>Océanie</v>
      </c>
      <c r="C409" s="1" t="s">
        <v>167</v>
      </c>
      <c r="D409" s="1">
        <v>2018</v>
      </c>
      <c r="E409" s="7">
        <v>280</v>
      </c>
      <c r="F409" s="7">
        <v>274</v>
      </c>
      <c r="G409" s="4">
        <v>0.97857142857142854</v>
      </c>
    </row>
    <row r="410" spans="1:7" x14ac:dyDescent="0.3">
      <c r="A410" s="1" t="s">
        <v>342</v>
      </c>
      <c r="B410" s="1" t="str">
        <f>VLOOKUP(C410,'Code ONU'!$C$1:$E$231,3,FALSE)</f>
        <v>Europe occidentale</v>
      </c>
      <c r="C410" s="1" t="s">
        <v>343</v>
      </c>
      <c r="D410" s="1">
        <v>2018</v>
      </c>
      <c r="E410" s="7">
        <v>10327</v>
      </c>
      <c r="F410" s="7">
        <v>2600</v>
      </c>
      <c r="G410" s="4">
        <v>0.25176721216229303</v>
      </c>
    </row>
    <row r="411" spans="1:7" x14ac:dyDescent="0.3">
      <c r="A411" s="1" t="s">
        <v>346</v>
      </c>
      <c r="B411" s="1" t="str">
        <f>VLOOKUP(C411,'Code ONU'!$C$1:$E$231,3,FALSE)</f>
        <v>Moyen-Orient</v>
      </c>
      <c r="C411" s="1" t="s">
        <v>347</v>
      </c>
      <c r="D411" s="1">
        <v>2018</v>
      </c>
      <c r="E411" s="7">
        <v>2742</v>
      </c>
      <c r="F411" s="7">
        <v>117</v>
      </c>
      <c r="G411" s="4">
        <v>4.2669584245076587E-2</v>
      </c>
    </row>
    <row r="412" spans="1:7" x14ac:dyDescent="0.3">
      <c r="A412" s="1" t="s">
        <v>518</v>
      </c>
      <c r="B412" s="1" t="str">
        <f>VLOOKUP(C412,'Code ONU'!$C$1:$E$231,3,FALSE)</f>
        <v>Caraïbes</v>
      </c>
      <c r="C412" s="1" t="s">
        <v>137</v>
      </c>
      <c r="D412" s="1">
        <v>2018</v>
      </c>
      <c r="E412" s="7">
        <v>10725</v>
      </c>
      <c r="F412" s="7">
        <v>154</v>
      </c>
      <c r="G412" s="4">
        <v>1.4358974358974359E-2</v>
      </c>
    </row>
    <row r="413" spans="1:7" x14ac:dyDescent="0.3">
      <c r="A413" s="1" t="s">
        <v>641</v>
      </c>
      <c r="B413" s="1" t="str">
        <f>VLOOKUP(C413,'Code ONU'!$C$1:$E$231,3,FALSE)</f>
        <v>Europe centrale et orientale</v>
      </c>
      <c r="C413" s="1" t="s">
        <v>125</v>
      </c>
      <c r="D413" s="1">
        <v>2018</v>
      </c>
      <c r="E413" s="7">
        <v>10546</v>
      </c>
      <c r="F413" s="7">
        <v>233</v>
      </c>
      <c r="G413" s="4">
        <v>2.2093684809406409E-2</v>
      </c>
    </row>
    <row r="414" spans="1:7" x14ac:dyDescent="0.3">
      <c r="A414" s="1" t="s">
        <v>351</v>
      </c>
      <c r="B414" s="1" t="str">
        <f>VLOOKUP(C414,'Code ONU'!$C$1:$E$231,3,FALSE)</f>
        <v>Afrique australe et Océan Indien</v>
      </c>
      <c r="C414" s="1" t="s">
        <v>352</v>
      </c>
      <c r="D414" s="1">
        <v>2018</v>
      </c>
      <c r="E414" s="7">
        <v>856</v>
      </c>
      <c r="F414" s="7">
        <v>753</v>
      </c>
      <c r="G414" s="4">
        <v>0.87967289719626163</v>
      </c>
    </row>
    <row r="415" spans="1:7" x14ac:dyDescent="0.3">
      <c r="A415" s="1" t="s">
        <v>586</v>
      </c>
      <c r="B415" s="1" t="str">
        <f>VLOOKUP(C415,'Code ONU'!$C$1:$E$231,3,FALSE)</f>
        <v>Europe centrale et orientale</v>
      </c>
      <c r="C415" s="1" t="s">
        <v>354</v>
      </c>
      <c r="D415" s="1">
        <v>2018</v>
      </c>
      <c r="E415" s="7">
        <v>19646</v>
      </c>
      <c r="F415" s="7">
        <v>2344</v>
      </c>
      <c r="G415" s="4">
        <v>0.11931181919983712</v>
      </c>
    </row>
    <row r="416" spans="1:7" x14ac:dyDescent="0.3">
      <c r="A416" s="1" t="s">
        <v>623</v>
      </c>
      <c r="B416" s="1" t="str">
        <f>VLOOKUP(C416,'Code ONU'!$C$1:$E$231,3,FALSE)</f>
        <v>Europe occidentale</v>
      </c>
      <c r="C416" s="1" t="s">
        <v>450</v>
      </c>
      <c r="D416" s="1">
        <v>2018</v>
      </c>
      <c r="E416" s="7">
        <v>66565</v>
      </c>
      <c r="F416" s="7">
        <v>10929</v>
      </c>
      <c r="G416" s="4">
        <v>0.16418538270863067</v>
      </c>
    </row>
    <row r="417" spans="1:7" x14ac:dyDescent="0.3">
      <c r="A417" s="1" t="s">
        <v>357</v>
      </c>
      <c r="B417" s="1" t="str">
        <f>VLOOKUP(C417,'Code ONU'!$C$1:$E$231,3,FALSE)</f>
        <v>Afrique de l'Est</v>
      </c>
      <c r="C417" s="1" t="s">
        <v>358</v>
      </c>
      <c r="D417" s="1">
        <v>2018</v>
      </c>
      <c r="E417" s="7">
        <v>12344</v>
      </c>
      <c r="F417" s="7">
        <v>715</v>
      </c>
      <c r="G417" s="4">
        <v>5.7922877511341543E-2</v>
      </c>
    </row>
    <row r="418" spans="1:7" x14ac:dyDescent="0.3">
      <c r="A418" s="1" t="s">
        <v>588</v>
      </c>
      <c r="B418" s="1" t="str">
        <f>VLOOKUP(C418,'Code ONU'!$C$1:$E$231,3,FALSE)</f>
        <v>Caraïbes</v>
      </c>
      <c r="C418" s="1" t="s">
        <v>360</v>
      </c>
      <c r="D418" s="1">
        <v>2018</v>
      </c>
      <c r="E418" s="7">
        <v>10</v>
      </c>
      <c r="F418" s="7"/>
      <c r="G418" s="4">
        <v>0</v>
      </c>
    </row>
    <row r="419" spans="1:7" x14ac:dyDescent="0.3">
      <c r="A419" s="1" t="s">
        <v>591</v>
      </c>
      <c r="B419" s="1" t="str">
        <f>VLOOKUP(C419,'Code ONU'!$C$1:$E$231,3,FALSE)</f>
        <v>Caraïbes</v>
      </c>
      <c r="C419" s="1" t="s">
        <v>366</v>
      </c>
      <c r="D419" s="1">
        <v>2018</v>
      </c>
      <c r="E419" s="7">
        <v>177</v>
      </c>
      <c r="F419" s="7">
        <v>3</v>
      </c>
      <c r="G419" s="4">
        <v>1.6949152542372881E-2</v>
      </c>
    </row>
    <row r="420" spans="1:7" x14ac:dyDescent="0.3">
      <c r="A420" s="1" t="s">
        <v>593</v>
      </c>
      <c r="B420" s="1" t="str">
        <f>VLOOKUP(C420,'Code ONU'!$C$1:$E$231,3,FALSE)</f>
        <v>Amériques</v>
      </c>
      <c r="C420" s="1" t="s">
        <v>370</v>
      </c>
      <c r="D420" s="1">
        <v>2018</v>
      </c>
      <c r="E420" s="7">
        <v>6</v>
      </c>
      <c r="F420" s="7">
        <v>6</v>
      </c>
      <c r="G420" s="4">
        <v>1</v>
      </c>
    </row>
    <row r="421" spans="1:7" x14ac:dyDescent="0.3">
      <c r="A421" s="1" t="s">
        <v>595</v>
      </c>
      <c r="B421" s="1" t="str">
        <f>VLOOKUP(C421,'Code ONU'!$C$1:$E$231,3,FALSE)</f>
        <v>Afrique centrale</v>
      </c>
      <c r="C421" s="1" t="s">
        <v>376</v>
      </c>
      <c r="D421" s="1">
        <v>2018</v>
      </c>
      <c r="E421" s="7">
        <v>209</v>
      </c>
      <c r="F421" s="7">
        <v>42</v>
      </c>
      <c r="G421" s="4">
        <v>0.20095693779904306</v>
      </c>
    </row>
    <row r="422" spans="1:7" x14ac:dyDescent="0.3">
      <c r="A422" s="1" t="s">
        <v>597</v>
      </c>
      <c r="B422" s="1" t="str">
        <f>VLOOKUP(C422,'Code ONU'!$C$1:$E$231,3,FALSE)</f>
        <v>Afrique de l'Ouest</v>
      </c>
      <c r="C422" s="1" t="s">
        <v>380</v>
      </c>
      <c r="D422" s="1">
        <v>2018</v>
      </c>
      <c r="E422" s="7">
        <v>15695</v>
      </c>
      <c r="F422" s="7">
        <v>4060</v>
      </c>
      <c r="G422" s="4">
        <v>0.25868110863332272</v>
      </c>
    </row>
    <row r="423" spans="1:7" x14ac:dyDescent="0.3">
      <c r="A423" s="1" t="s">
        <v>598</v>
      </c>
      <c r="B423" s="1" t="str">
        <f>VLOOKUP(C423,'Code ONU'!$C$1:$E$231,3,FALSE)</f>
        <v>Europe centrale et orientale</v>
      </c>
      <c r="C423" s="1" t="s">
        <v>382</v>
      </c>
      <c r="D423" s="1">
        <v>2018</v>
      </c>
      <c r="E423" s="7">
        <v>7047</v>
      </c>
      <c r="F423" s="7">
        <v>253</v>
      </c>
      <c r="G423" s="4">
        <v>3.590180218532709E-2</v>
      </c>
    </row>
    <row r="424" spans="1:7" x14ac:dyDescent="0.3">
      <c r="A424" s="1" t="s">
        <v>383</v>
      </c>
      <c r="B424" s="1" t="str">
        <f>VLOOKUP(C424,'Code ONU'!$C$1:$E$231,3,FALSE)</f>
        <v>Afrique australe et Océan Indien</v>
      </c>
      <c r="C424" s="1" t="s">
        <v>384</v>
      </c>
      <c r="D424" s="1">
        <v>2018</v>
      </c>
      <c r="E424" s="7">
        <v>114</v>
      </c>
      <c r="F424" s="7">
        <v>60</v>
      </c>
      <c r="G424" s="4">
        <v>0.52631578947368418</v>
      </c>
    </row>
    <row r="425" spans="1:7" x14ac:dyDescent="0.3">
      <c r="A425" s="1" t="s">
        <v>601</v>
      </c>
      <c r="B425" s="1" t="str">
        <f>VLOOKUP(C425,'Code ONU'!$C$1:$E$231,3,FALSE)</f>
        <v>Europe centrale et orientale</v>
      </c>
      <c r="C425" s="1" t="s">
        <v>392</v>
      </c>
      <c r="D425" s="1">
        <v>2018</v>
      </c>
      <c r="E425" s="7">
        <v>5440</v>
      </c>
      <c r="F425" s="7">
        <v>114</v>
      </c>
      <c r="G425" s="4">
        <v>2.0955882352941175E-2</v>
      </c>
    </row>
    <row r="426" spans="1:7" x14ac:dyDescent="0.3">
      <c r="A426" s="1" t="s">
        <v>602</v>
      </c>
      <c r="B426" s="1" t="str">
        <f>VLOOKUP(C426,'Code ONU'!$C$1:$E$231,3,FALSE)</f>
        <v>Europe centrale et orientale</v>
      </c>
      <c r="C426" s="1" t="s">
        <v>394</v>
      </c>
      <c r="D426" s="1">
        <v>2018</v>
      </c>
      <c r="E426" s="7">
        <v>2063</v>
      </c>
      <c r="F426" s="7">
        <v>50</v>
      </c>
      <c r="G426" s="4">
        <v>2.4236548715462918E-2</v>
      </c>
    </row>
    <row r="427" spans="1:7" x14ac:dyDescent="0.3">
      <c r="A427" s="1" t="s">
        <v>610</v>
      </c>
      <c r="B427" s="1" t="str">
        <f>VLOOKUP(C427,'Code ONU'!$C$1:$E$231,3,FALSE)</f>
        <v>Europe occidentale</v>
      </c>
      <c r="C427" s="1" t="s">
        <v>414</v>
      </c>
      <c r="D427" s="1">
        <v>2018</v>
      </c>
      <c r="E427" s="7">
        <v>10120</v>
      </c>
      <c r="F427" s="7">
        <v>837</v>
      </c>
      <c r="G427" s="4">
        <v>8.2707509881422919E-2</v>
      </c>
    </row>
    <row r="428" spans="1:7" x14ac:dyDescent="0.3">
      <c r="A428" s="1" t="s">
        <v>611</v>
      </c>
      <c r="B428" s="1" t="str">
        <f>VLOOKUP(C428,'Code ONU'!$C$1:$E$231,3,FALSE)</f>
        <v>Europe occidentale</v>
      </c>
      <c r="C428" s="1" t="s">
        <v>416</v>
      </c>
      <c r="D428" s="1">
        <v>2018</v>
      </c>
      <c r="E428" s="7">
        <v>8486</v>
      </c>
      <c r="F428" s="7">
        <v>5695</v>
      </c>
      <c r="G428" s="4">
        <v>0.67110534998821592</v>
      </c>
    </row>
    <row r="429" spans="1:7" x14ac:dyDescent="0.3">
      <c r="A429" s="1" t="s">
        <v>502</v>
      </c>
      <c r="B429" s="1" t="str">
        <f>VLOOKUP(C429,'Code ONU'!$C$1:$E$231,3,FALSE)</f>
        <v>Afrique centrale</v>
      </c>
      <c r="C429" s="1" t="s">
        <v>95</v>
      </c>
      <c r="D429" s="1">
        <v>2018</v>
      </c>
      <c r="E429" s="7">
        <v>15878</v>
      </c>
      <c r="F429" s="7">
        <v>2024</v>
      </c>
      <c r="G429" s="4">
        <v>0.12747197380022673</v>
      </c>
    </row>
    <row r="430" spans="1:7" x14ac:dyDescent="0.3">
      <c r="A430" s="1" t="s">
        <v>614</v>
      </c>
      <c r="B430" s="1" t="str">
        <f>VLOOKUP(C430,'Code ONU'!$C$1:$E$231,3,FALSE)</f>
        <v>Asie</v>
      </c>
      <c r="C430" s="1" t="s">
        <v>422</v>
      </c>
      <c r="D430" s="1">
        <v>2018</v>
      </c>
      <c r="E430" s="7">
        <v>71291</v>
      </c>
      <c r="F430" s="7">
        <v>588</v>
      </c>
      <c r="G430" s="4">
        <v>8.2478854273330439E-3</v>
      </c>
    </row>
    <row r="431" spans="1:7" x14ac:dyDescent="0.3">
      <c r="A431" s="1" t="s">
        <v>425</v>
      </c>
      <c r="B431" s="1" t="str">
        <f>VLOOKUP(C431,'Code ONU'!$C$1:$E$231,3,FALSE)</f>
        <v>Afrique de l'Ouest</v>
      </c>
      <c r="C431" s="1" t="s">
        <v>426</v>
      </c>
      <c r="D431" s="1">
        <v>2018</v>
      </c>
      <c r="E431" s="7">
        <v>8157</v>
      </c>
      <c r="F431" s="7">
        <v>3284</v>
      </c>
      <c r="G431" s="4">
        <v>0.40259899472845406</v>
      </c>
    </row>
    <row r="432" spans="1:7" x14ac:dyDescent="0.3">
      <c r="A432" s="1" t="s">
        <v>617</v>
      </c>
      <c r="B432" s="1" t="str">
        <f>VLOOKUP(C432,'Code ONU'!$C$1:$E$231,3,FALSE)</f>
        <v>Afrique du Nord</v>
      </c>
      <c r="C432" s="1" t="s">
        <v>434</v>
      </c>
      <c r="D432" s="1">
        <v>2018</v>
      </c>
      <c r="E432" s="7">
        <v>11710</v>
      </c>
      <c r="F432" s="7">
        <v>6108</v>
      </c>
      <c r="G432" s="4">
        <v>0.52160546541417596</v>
      </c>
    </row>
    <row r="433" spans="1:7" x14ac:dyDescent="0.3">
      <c r="A433" s="1" t="s">
        <v>445</v>
      </c>
      <c r="B433" s="1" t="str">
        <f>VLOOKUP(C433,'Code ONU'!$C$1:$E$231,3,FALSE)</f>
        <v>Europe centrale et orientale</v>
      </c>
      <c r="C433" s="1" t="s">
        <v>446</v>
      </c>
      <c r="D433" s="1">
        <v>2018</v>
      </c>
      <c r="E433" s="7">
        <v>45339</v>
      </c>
      <c r="F433" s="7">
        <v>54</v>
      </c>
      <c r="G433" s="4">
        <v>1.191027592139218E-3</v>
      </c>
    </row>
    <row r="434" spans="1:7" x14ac:dyDescent="0.3">
      <c r="A434" s="1" t="s">
        <v>457</v>
      </c>
      <c r="B434" s="1" t="str">
        <f>VLOOKUP(C434,'Code ONU'!$C$1:$E$231,3,FALSE)</f>
        <v>Amériques</v>
      </c>
      <c r="C434" s="1" t="s">
        <v>458</v>
      </c>
      <c r="D434" s="1">
        <v>2018</v>
      </c>
      <c r="E434" s="7">
        <v>3392</v>
      </c>
      <c r="F434" s="7">
        <v>5</v>
      </c>
      <c r="G434" s="4">
        <v>1.474056603773585E-3</v>
      </c>
    </row>
    <row r="435" spans="1:7" x14ac:dyDescent="0.3">
      <c r="A435" s="1" t="s">
        <v>461</v>
      </c>
      <c r="B435" s="1" t="str">
        <f>VLOOKUP(C435,'Code ONU'!$C$1:$E$231,3,FALSE)</f>
        <v>Océanie</v>
      </c>
      <c r="C435" s="1" t="s">
        <v>462</v>
      </c>
      <c r="D435" s="1">
        <v>2018</v>
      </c>
      <c r="E435" s="7">
        <v>282</v>
      </c>
      <c r="F435" s="7">
        <v>89</v>
      </c>
      <c r="G435" s="4">
        <v>0.31560283687943264</v>
      </c>
    </row>
    <row r="436" spans="1:7" x14ac:dyDescent="0.3">
      <c r="A436" s="1" t="s">
        <v>465</v>
      </c>
      <c r="B436" s="1" t="str">
        <f>VLOOKUP(C436,'Code ONU'!$C$1:$E$231,3,FALSE)</f>
        <v>Asie</v>
      </c>
      <c r="C436" s="1" t="s">
        <v>466</v>
      </c>
      <c r="D436" s="1">
        <v>2018</v>
      </c>
      <c r="E436" s="7">
        <v>95747</v>
      </c>
      <c r="F436" s="7">
        <v>671</v>
      </c>
      <c r="G436" s="4">
        <v>7.0080524716179095E-3</v>
      </c>
    </row>
    <row r="437" spans="1:7" x14ac:dyDescent="0.3">
      <c r="A437" s="1" t="s">
        <v>475</v>
      </c>
      <c r="B437" s="1" t="str">
        <f>VLOOKUP(C437,'Code ONU'!$C$1:$E$231,3,FALSE)</f>
        <v>Europe centrale et orientale</v>
      </c>
      <c r="C437" s="1" t="s">
        <v>8</v>
      </c>
      <c r="D437" s="1">
        <v>2014</v>
      </c>
      <c r="E437" s="7">
        <v>2906</v>
      </c>
      <c r="F437" s="7">
        <v>60.987486490253588</v>
      </c>
      <c r="G437" s="4">
        <v>2.0986746899605502E-2</v>
      </c>
    </row>
    <row r="438" spans="1:7" x14ac:dyDescent="0.3">
      <c r="A438" s="1" t="s">
        <v>476</v>
      </c>
      <c r="B438" s="1" t="str">
        <f>VLOOKUP(C438,'Code ONU'!$C$1:$E$231,3,FALSE)</f>
        <v>Afrique du Nord</v>
      </c>
      <c r="C438" s="1" t="s">
        <v>11</v>
      </c>
      <c r="D438" s="1">
        <v>2014</v>
      </c>
      <c r="E438" s="7">
        <v>38800</v>
      </c>
      <c r="F438" s="7">
        <v>12494</v>
      </c>
      <c r="G438" s="4">
        <v>0.3220103092783505</v>
      </c>
    </row>
    <row r="439" spans="1:7" x14ac:dyDescent="0.3">
      <c r="A439" s="1" t="s">
        <v>533</v>
      </c>
      <c r="B439" s="1" t="str">
        <f>VLOOKUP(C439,'Code ONU'!$C$1:$E$231,3,FALSE)</f>
        <v>Europe occidentale</v>
      </c>
      <c r="C439" s="1" t="s">
        <v>175</v>
      </c>
      <c r="D439" s="1">
        <v>2014</v>
      </c>
      <c r="E439" s="7">
        <v>81163</v>
      </c>
      <c r="F439" s="7">
        <v>11741</v>
      </c>
      <c r="G439" s="4">
        <v>0.14465951233936647</v>
      </c>
    </row>
    <row r="440" spans="1:7" x14ac:dyDescent="0.3">
      <c r="A440" s="1" t="s">
        <v>478</v>
      </c>
      <c r="B440" s="1" t="str">
        <f>VLOOKUP(C440,'Code ONU'!$C$1:$E$231,3,FALSE)</f>
        <v>Europe occidentale</v>
      </c>
      <c r="C440" s="1" t="s">
        <v>17</v>
      </c>
      <c r="D440" s="1">
        <v>2014</v>
      </c>
      <c r="E440" s="7">
        <v>74</v>
      </c>
      <c r="F440" s="7">
        <v>52</v>
      </c>
      <c r="G440" s="4">
        <v>0.70270270270270274</v>
      </c>
    </row>
    <row r="441" spans="1:7" x14ac:dyDescent="0.3">
      <c r="A441" s="1" t="s">
        <v>481</v>
      </c>
      <c r="B441" s="1" t="str">
        <f>VLOOKUP(C441,'Code ONU'!$C$1:$E$231,3,FALSE)</f>
        <v>Moyen-Orient</v>
      </c>
      <c r="C441" s="1" t="s">
        <v>31</v>
      </c>
      <c r="D441" s="1">
        <v>2014</v>
      </c>
      <c r="E441" s="7">
        <v>2923</v>
      </c>
      <c r="F441" s="7">
        <v>9.9367984589755398</v>
      </c>
      <c r="G441" s="4">
        <v>3.3995205128209169E-3</v>
      </c>
    </row>
    <row r="442" spans="1:7" x14ac:dyDescent="0.3">
      <c r="A442" s="1" t="s">
        <v>483</v>
      </c>
      <c r="B442" s="1" t="str">
        <f>VLOOKUP(C442,'Code ONU'!$C$1:$E$231,3,FALSE)</f>
        <v>Europe occidentale</v>
      </c>
      <c r="C442" s="1" t="s">
        <v>38</v>
      </c>
      <c r="D442" s="1">
        <v>2014</v>
      </c>
      <c r="E442" s="7">
        <v>8509</v>
      </c>
      <c r="F442" s="7">
        <v>962</v>
      </c>
      <c r="G442" s="4">
        <v>0.11305676342695969</v>
      </c>
    </row>
    <row r="443" spans="1:7" x14ac:dyDescent="0.3">
      <c r="A443" s="1" t="s">
        <v>488</v>
      </c>
      <c r="B443" s="1" t="str">
        <f>VLOOKUP(C443,'Code ONU'!$C$1:$E$231,3,FALSE)</f>
        <v>Europe occidentale</v>
      </c>
      <c r="C443" s="1" t="s">
        <v>52</v>
      </c>
      <c r="D443" s="1">
        <v>2014</v>
      </c>
      <c r="E443" s="7">
        <v>11182</v>
      </c>
      <c r="F443" s="7">
        <v>8087</v>
      </c>
      <c r="G443" s="4">
        <v>0.72321588266857451</v>
      </c>
    </row>
    <row r="444" spans="1:7" x14ac:dyDescent="0.3">
      <c r="A444" s="1" t="s">
        <v>489</v>
      </c>
      <c r="B444" s="1" t="str">
        <f>VLOOKUP(C444,'Code ONU'!$C$1:$E$231,3,FALSE)</f>
        <v>Afrique de l'Ouest</v>
      </c>
      <c r="C444" s="1" t="s">
        <v>56</v>
      </c>
      <c r="D444" s="1">
        <v>2014</v>
      </c>
      <c r="E444" s="7">
        <v>10866</v>
      </c>
      <c r="F444" s="7">
        <v>3843</v>
      </c>
      <c r="G444" s="4">
        <v>0.35367200441744895</v>
      </c>
    </row>
    <row r="445" spans="1:7" x14ac:dyDescent="0.3">
      <c r="A445" s="1" t="s">
        <v>493</v>
      </c>
      <c r="B445" s="1" t="str">
        <f>VLOOKUP(C445,'Code ONU'!$C$1:$E$231,3,FALSE)</f>
        <v>Europe centrale et orientale</v>
      </c>
      <c r="C445" s="1" t="s">
        <v>65</v>
      </c>
      <c r="D445" s="1">
        <v>2014</v>
      </c>
      <c r="E445" s="7">
        <v>3588</v>
      </c>
      <c r="F445" s="7"/>
      <c r="G445" s="4">
        <v>0</v>
      </c>
    </row>
    <row r="446" spans="1:7" x14ac:dyDescent="0.3">
      <c r="A446" s="1" t="s">
        <v>497</v>
      </c>
      <c r="B446" s="1" t="str">
        <f>VLOOKUP(C446,'Code ONU'!$C$1:$E$231,3,FALSE)</f>
        <v>Europe centrale et orientale</v>
      </c>
      <c r="C446" s="1" t="s">
        <v>76</v>
      </c>
      <c r="D446" s="1">
        <v>2014</v>
      </c>
      <c r="E446" s="7">
        <v>7245</v>
      </c>
      <c r="F446" s="7">
        <v>188</v>
      </c>
      <c r="G446" s="4">
        <v>2.5948930296756385E-2</v>
      </c>
    </row>
    <row r="447" spans="1:7" x14ac:dyDescent="0.3">
      <c r="A447" s="1" t="s">
        <v>77</v>
      </c>
      <c r="B447" s="1" t="str">
        <f>VLOOKUP(C447,'Code ONU'!$C$1:$E$231,3,FALSE)</f>
        <v>Afrique de l'Ouest</v>
      </c>
      <c r="C447" s="1" t="s">
        <v>78</v>
      </c>
      <c r="D447" s="1">
        <v>2014</v>
      </c>
      <c r="E447" s="7">
        <v>17957</v>
      </c>
      <c r="F447" s="7">
        <v>3974</v>
      </c>
      <c r="G447" s="4">
        <v>0.22130645430751239</v>
      </c>
    </row>
    <row r="448" spans="1:7" x14ac:dyDescent="0.3">
      <c r="A448" s="1" t="s">
        <v>79</v>
      </c>
      <c r="B448" s="1" t="str">
        <f>VLOOKUP(C448,'Code ONU'!$C$1:$E$231,3,FALSE)</f>
        <v>Afrique de l'Est</v>
      </c>
      <c r="C448" s="1" t="s">
        <v>80</v>
      </c>
      <c r="D448" s="1">
        <v>2014</v>
      </c>
      <c r="E448" s="7">
        <v>10619</v>
      </c>
      <c r="F448" s="7">
        <v>881</v>
      </c>
      <c r="G448" s="4">
        <v>8.2964497598643938E-2</v>
      </c>
    </row>
    <row r="449" spans="1:7" x14ac:dyDescent="0.3">
      <c r="A449" s="1" t="s">
        <v>82</v>
      </c>
      <c r="B449" s="1" t="str">
        <f>VLOOKUP(C449,'Code ONU'!$C$1:$E$231,3,FALSE)</f>
        <v>Afrique de l'Ouest</v>
      </c>
      <c r="C449" s="1" t="s">
        <v>83</v>
      </c>
      <c r="D449" s="1">
        <v>2014</v>
      </c>
      <c r="E449" s="7">
        <v>512</v>
      </c>
      <c r="F449" s="7">
        <v>55</v>
      </c>
      <c r="G449" s="4">
        <v>0.107421875</v>
      </c>
    </row>
    <row r="450" spans="1:7" x14ac:dyDescent="0.3">
      <c r="A450" s="1" t="s">
        <v>498</v>
      </c>
      <c r="B450" s="1" t="str">
        <f>VLOOKUP(C450,'Code ONU'!$C$1:$E$231,3,FALSE)</f>
        <v>Asie</v>
      </c>
      <c r="C450" s="1" t="s">
        <v>85</v>
      </c>
      <c r="D450" s="1">
        <v>2014</v>
      </c>
      <c r="E450" s="7">
        <v>15283</v>
      </c>
      <c r="F450" s="7">
        <v>412</v>
      </c>
      <c r="G450" s="4">
        <v>2.6958057972911079E-2</v>
      </c>
    </row>
    <row r="451" spans="1:7" x14ac:dyDescent="0.3">
      <c r="A451" s="1" t="s">
        <v>499</v>
      </c>
      <c r="B451" s="1" t="str">
        <f>VLOOKUP(C451,'Code ONU'!$C$1:$E$231,3,FALSE)</f>
        <v>Afrique centrale</v>
      </c>
      <c r="C451" s="1" t="s">
        <v>87</v>
      </c>
      <c r="D451" s="1">
        <v>2014</v>
      </c>
      <c r="E451" s="7">
        <v>21702</v>
      </c>
      <c r="F451" s="7">
        <v>8659</v>
      </c>
      <c r="G451" s="4">
        <v>0.39899548428716247</v>
      </c>
    </row>
    <row r="452" spans="1:7" x14ac:dyDescent="0.3">
      <c r="A452" s="1" t="s">
        <v>88</v>
      </c>
      <c r="B452" s="1" t="str">
        <f>VLOOKUP(C452,'Code ONU'!$C$1:$E$231,3,FALSE)</f>
        <v>Amériques</v>
      </c>
      <c r="C452" s="1" t="s">
        <v>89</v>
      </c>
      <c r="D452" s="1">
        <v>2014</v>
      </c>
      <c r="E452" s="7">
        <v>35476</v>
      </c>
      <c r="F452" s="7">
        <v>10288</v>
      </c>
      <c r="G452" s="4">
        <v>0.28999887247716766</v>
      </c>
    </row>
    <row r="453" spans="1:7" x14ac:dyDescent="0.3">
      <c r="A453" s="1" t="s">
        <v>501</v>
      </c>
      <c r="B453" s="1" t="str">
        <f>VLOOKUP(C453,'Code ONU'!$C$1:$E$231,3,FALSE)</f>
        <v>Afrique centrale</v>
      </c>
      <c r="C453" s="1" t="s">
        <v>93</v>
      </c>
      <c r="D453" s="1">
        <v>2014</v>
      </c>
      <c r="E453" s="7">
        <v>4656</v>
      </c>
      <c r="F453" s="7">
        <v>1367</v>
      </c>
      <c r="G453" s="4">
        <v>0.29359965635738833</v>
      </c>
    </row>
    <row r="454" spans="1:7" x14ac:dyDescent="0.3">
      <c r="A454" s="1" t="s">
        <v>512</v>
      </c>
      <c r="B454" s="1" t="str">
        <f>VLOOKUP(C454,'Code ONU'!$C$1:$E$231,3,FALSE)</f>
        <v>Moyen-Orient</v>
      </c>
      <c r="C454" s="1" t="s">
        <v>123</v>
      </c>
      <c r="D454" s="1">
        <v>2014</v>
      </c>
      <c r="E454" s="7">
        <v>1193</v>
      </c>
      <c r="F454" s="7">
        <v>80</v>
      </c>
      <c r="G454" s="4">
        <v>6.7057837384744343E-2</v>
      </c>
    </row>
    <row r="455" spans="1:7" x14ac:dyDescent="0.3">
      <c r="A455" s="1" t="s">
        <v>507</v>
      </c>
      <c r="B455" s="1" t="str">
        <f>VLOOKUP(C455,'Code ONU'!$C$1:$E$231,3,FALSE)</f>
        <v>Amériques</v>
      </c>
      <c r="C455" s="1" t="s">
        <v>105</v>
      </c>
      <c r="D455" s="1">
        <v>2014</v>
      </c>
      <c r="E455" s="7">
        <v>46364</v>
      </c>
      <c r="F455" s="7"/>
      <c r="G455" s="4">
        <v>0</v>
      </c>
    </row>
    <row r="456" spans="1:7" x14ac:dyDescent="0.3">
      <c r="A456" s="1" t="s">
        <v>508</v>
      </c>
      <c r="B456" s="1" t="str">
        <f>VLOOKUP(C456,'Code ONU'!$C$1:$E$231,3,FALSE)</f>
        <v>Afrique australe et Océan Indien</v>
      </c>
      <c r="C456" s="1" t="s">
        <v>107</v>
      </c>
      <c r="D456" s="1">
        <v>2014</v>
      </c>
      <c r="E456" s="7">
        <v>704</v>
      </c>
      <c r="F456" s="7">
        <v>179</v>
      </c>
      <c r="G456" s="4">
        <v>0.25426136363636365</v>
      </c>
    </row>
    <row r="457" spans="1:7" x14ac:dyDescent="0.3">
      <c r="A457" s="1" t="s">
        <v>108</v>
      </c>
      <c r="B457" s="1" t="str">
        <f>VLOOKUP(C457,'Code ONU'!$C$1:$E$231,3,FALSE)</f>
        <v>Afrique centrale</v>
      </c>
      <c r="C457" s="1" t="s">
        <v>109</v>
      </c>
      <c r="D457" s="1">
        <v>2014</v>
      </c>
      <c r="E457" s="7">
        <v>4916</v>
      </c>
      <c r="F457" s="7">
        <v>2859</v>
      </c>
      <c r="G457" s="4">
        <v>0.58157038242473558</v>
      </c>
    </row>
    <row r="458" spans="1:7" x14ac:dyDescent="0.3">
      <c r="A458" s="1" t="s">
        <v>515</v>
      </c>
      <c r="B458" s="1" t="str">
        <f>VLOOKUP(C458,'Code ONU'!$C$1:$E$231,3,FALSE)</f>
        <v>Afrique centrale</v>
      </c>
      <c r="C458" s="1" t="s">
        <v>129</v>
      </c>
      <c r="D458" s="1">
        <v>2014</v>
      </c>
      <c r="E458" s="7">
        <v>77095</v>
      </c>
      <c r="F458" s="7">
        <v>35949</v>
      </c>
      <c r="G458" s="4">
        <v>0.46629483105259745</v>
      </c>
    </row>
    <row r="459" spans="1:7" x14ac:dyDescent="0.3">
      <c r="A459" s="1" t="s">
        <v>112</v>
      </c>
      <c r="B459" s="1" t="str">
        <f>VLOOKUP(C459,'Code ONU'!$C$1:$E$231,3,FALSE)</f>
        <v>Amériques</v>
      </c>
      <c r="C459" s="1" t="s">
        <v>113</v>
      </c>
      <c r="D459" s="1">
        <v>2014</v>
      </c>
      <c r="E459" s="7">
        <v>4742</v>
      </c>
      <c r="F459" s="7"/>
      <c r="G459" s="4">
        <v>0</v>
      </c>
    </row>
    <row r="460" spans="1:7" x14ac:dyDescent="0.3">
      <c r="A460" s="1" t="s">
        <v>510</v>
      </c>
      <c r="B460" s="1" t="str">
        <f>VLOOKUP(C460,'Code ONU'!$C$1:$E$231,3,FALSE)</f>
        <v>Afrique de l'Ouest</v>
      </c>
      <c r="C460" s="1" t="s">
        <v>115</v>
      </c>
      <c r="D460" s="1">
        <v>2014</v>
      </c>
      <c r="E460" s="7">
        <v>24174</v>
      </c>
      <c r="F460" s="7">
        <v>8194</v>
      </c>
      <c r="G460" s="4">
        <v>0.33895921237693388</v>
      </c>
    </row>
    <row r="461" spans="1:7" x14ac:dyDescent="0.3">
      <c r="A461" s="1" t="s">
        <v>511</v>
      </c>
      <c r="B461" s="1" t="str">
        <f>VLOOKUP(C461,'Code ONU'!$C$1:$E$231,3,FALSE)</f>
        <v>Europe centrale et orientale</v>
      </c>
      <c r="C461" s="1" t="s">
        <v>117</v>
      </c>
      <c r="D461" s="1">
        <v>2014</v>
      </c>
      <c r="E461" s="7">
        <v>4233</v>
      </c>
      <c r="F461" s="7">
        <v>115</v>
      </c>
      <c r="G461" s="4">
        <v>2.7167493503425465E-2</v>
      </c>
    </row>
    <row r="462" spans="1:7" x14ac:dyDescent="0.3">
      <c r="A462" s="1" t="s">
        <v>516</v>
      </c>
      <c r="B462" s="1" t="str">
        <f>VLOOKUP(C462,'Code ONU'!$C$1:$E$231,3,FALSE)</f>
        <v>Europe occidentale</v>
      </c>
      <c r="C462" s="1" t="s">
        <v>131</v>
      </c>
      <c r="D462" s="1">
        <v>2014</v>
      </c>
      <c r="E462" s="7">
        <v>5628</v>
      </c>
      <c r="F462" s="7">
        <v>433</v>
      </c>
      <c r="G462" s="4">
        <v>7.6936744847192609E-2</v>
      </c>
    </row>
    <row r="463" spans="1:7" x14ac:dyDescent="0.3">
      <c r="A463" s="1" t="s">
        <v>132</v>
      </c>
      <c r="B463" s="1" t="str">
        <f>VLOOKUP(C463,'Code ONU'!$C$1:$E$231,3,FALSE)</f>
        <v>Afrique de l'Est</v>
      </c>
      <c r="C463" s="1" t="s">
        <v>133</v>
      </c>
      <c r="D463" s="1">
        <v>2014</v>
      </c>
      <c r="E463" s="7">
        <v>994</v>
      </c>
      <c r="F463" s="7">
        <v>497</v>
      </c>
      <c r="G463" s="4">
        <v>0.5</v>
      </c>
    </row>
    <row r="464" spans="1:7" x14ac:dyDescent="0.3">
      <c r="A464" s="1" t="s">
        <v>517</v>
      </c>
      <c r="B464" s="1" t="str">
        <f>VLOOKUP(C464,'Code ONU'!$C$1:$E$231,3,FALSE)</f>
        <v>Caraïbes</v>
      </c>
      <c r="C464" s="1" t="s">
        <v>135</v>
      </c>
      <c r="D464" s="1">
        <v>2014</v>
      </c>
      <c r="E464" s="7">
        <v>70</v>
      </c>
      <c r="F464" s="7">
        <v>7</v>
      </c>
      <c r="G464" s="4">
        <v>0.1</v>
      </c>
    </row>
    <row r="465" spans="1:7" x14ac:dyDescent="0.3">
      <c r="A465" s="1" t="s">
        <v>520</v>
      </c>
      <c r="B465" s="1" t="str">
        <f>VLOOKUP(C465,'Code ONU'!$C$1:$E$231,3,FALSE)</f>
        <v>Afrique du Nord</v>
      </c>
      <c r="C465" s="1" t="s">
        <v>141</v>
      </c>
      <c r="D465" s="1">
        <v>2014</v>
      </c>
      <c r="E465" s="7">
        <v>96477</v>
      </c>
      <c r="F465" s="7">
        <v>3189</v>
      </c>
      <c r="G465" s="4">
        <v>3.3054510401442833E-2</v>
      </c>
    </row>
    <row r="466" spans="1:7" x14ac:dyDescent="0.3">
      <c r="A466" s="1" t="s">
        <v>639</v>
      </c>
      <c r="B466" s="1" t="str">
        <f>VLOOKUP(C466,'Code ONU'!$C$1:$E$231,3,FALSE)</f>
        <v>Moyen-Orient</v>
      </c>
      <c r="C466" s="1" t="s">
        <v>448</v>
      </c>
      <c r="D466" s="1">
        <v>2014</v>
      </c>
      <c r="E466" s="7">
        <v>8014</v>
      </c>
      <c r="F466" s="7">
        <v>84</v>
      </c>
      <c r="G466" s="4">
        <v>1.0481657100074869E-2</v>
      </c>
    </row>
    <row r="467" spans="1:7" x14ac:dyDescent="0.3">
      <c r="A467" s="1" t="s">
        <v>607</v>
      </c>
      <c r="B467" s="1" t="str">
        <f>VLOOKUP(C467,'Code ONU'!$C$1:$E$231,3,FALSE)</f>
        <v>Europe occidentale</v>
      </c>
      <c r="C467" s="1" t="s">
        <v>404</v>
      </c>
      <c r="D467" s="1">
        <v>2014</v>
      </c>
      <c r="E467" s="7">
        <v>46754</v>
      </c>
      <c r="F467" s="7">
        <v>4975</v>
      </c>
      <c r="G467" s="4">
        <v>0.1064080078709843</v>
      </c>
    </row>
    <row r="468" spans="1:7" x14ac:dyDescent="0.3">
      <c r="A468" s="1" t="s">
        <v>523</v>
      </c>
      <c r="B468" s="1" t="str">
        <f>VLOOKUP(C468,'Code ONU'!$C$1:$E$231,3,FALSE)</f>
        <v>Europe occidentale</v>
      </c>
      <c r="C468" s="1" t="s">
        <v>149</v>
      </c>
      <c r="D468" s="1">
        <v>2014</v>
      </c>
      <c r="E468" s="7">
        <v>1316</v>
      </c>
      <c r="F468" s="7">
        <v>20</v>
      </c>
      <c r="G468" s="4">
        <v>1.5197568389057751E-2</v>
      </c>
    </row>
    <row r="469" spans="1:7" x14ac:dyDescent="0.3">
      <c r="A469" s="1" t="s">
        <v>640</v>
      </c>
      <c r="B469" s="1" t="str">
        <f>VLOOKUP(C469,'Code ONU'!$C$1:$E$231,3,FALSE)</f>
        <v>Amériques</v>
      </c>
      <c r="C469" s="1" t="s">
        <v>454</v>
      </c>
      <c r="D469" s="1">
        <v>2014</v>
      </c>
      <c r="E469" s="7">
        <v>321603</v>
      </c>
      <c r="F469" s="7">
        <v>2093</v>
      </c>
      <c r="G469" s="4">
        <v>6.508023867936555E-3</v>
      </c>
    </row>
    <row r="470" spans="1:7" x14ac:dyDescent="0.3">
      <c r="A470" s="1" t="s">
        <v>587</v>
      </c>
      <c r="B470" s="1" t="str">
        <f>VLOOKUP(C470,'Code ONU'!$C$1:$E$231,3,FALSE)</f>
        <v>Europe centrale et orientale</v>
      </c>
      <c r="C470" s="1" t="s">
        <v>356</v>
      </c>
      <c r="D470" s="1">
        <v>2014</v>
      </c>
      <c r="E470" s="7">
        <v>144769</v>
      </c>
      <c r="F470" s="7"/>
      <c r="G470" s="4">
        <v>0</v>
      </c>
    </row>
    <row r="471" spans="1:7" x14ac:dyDescent="0.3">
      <c r="A471" s="1" t="s">
        <v>528</v>
      </c>
      <c r="B471" s="1" t="str">
        <f>VLOOKUP(C471,'Code ONU'!$C$1:$E$231,3,FALSE)</f>
        <v>Europe occidentale</v>
      </c>
      <c r="C471" s="1" t="s">
        <v>161</v>
      </c>
      <c r="D471" s="1">
        <v>2014</v>
      </c>
      <c r="E471" s="7">
        <v>5451</v>
      </c>
      <c r="F471" s="7">
        <v>518</v>
      </c>
      <c r="G471" s="4">
        <v>9.5028435149513854E-2</v>
      </c>
    </row>
    <row r="472" spans="1:7" x14ac:dyDescent="0.3">
      <c r="A472" s="1" t="s">
        <v>162</v>
      </c>
      <c r="B472" s="1" t="str">
        <f>VLOOKUP(C472,'Code ONU'!$C$1:$E$231,3,FALSE)</f>
        <v>Europe occidentale</v>
      </c>
      <c r="C472" s="1" t="s">
        <v>163</v>
      </c>
      <c r="D472" s="1">
        <v>2014</v>
      </c>
      <c r="E472" s="7">
        <v>64553</v>
      </c>
      <c r="F472" s="7">
        <v>62859</v>
      </c>
      <c r="G472" s="4">
        <v>0.97375799730454049</v>
      </c>
    </row>
    <row r="473" spans="1:7" x14ac:dyDescent="0.3">
      <c r="A473" s="1" t="s">
        <v>168</v>
      </c>
      <c r="B473" s="1" t="str">
        <f>VLOOKUP(C473,'Code ONU'!$C$1:$E$231,3,FALSE)</f>
        <v>Afrique centrale</v>
      </c>
      <c r="C473" s="1" t="s">
        <v>169</v>
      </c>
      <c r="D473" s="1">
        <v>2014</v>
      </c>
      <c r="E473" s="7">
        <v>1946</v>
      </c>
      <c r="F473" s="7">
        <v>1189</v>
      </c>
      <c r="G473" s="4">
        <v>0.61099691675231249</v>
      </c>
    </row>
    <row r="474" spans="1:7" x14ac:dyDescent="0.3">
      <c r="A474" s="1" t="s">
        <v>531</v>
      </c>
      <c r="B474" s="1" t="str">
        <f>VLOOKUP(C474,'Code ONU'!$C$1:$E$231,3,FALSE)</f>
        <v>Afrique de l'Ouest</v>
      </c>
      <c r="C474" s="1" t="s">
        <v>171</v>
      </c>
      <c r="D474" s="1">
        <v>2014</v>
      </c>
      <c r="E474" s="7">
        <v>2134</v>
      </c>
      <c r="F474" s="7"/>
      <c r="G474" s="4">
        <v>0</v>
      </c>
    </row>
    <row r="475" spans="1:7" x14ac:dyDescent="0.3">
      <c r="A475" s="1" t="s">
        <v>532</v>
      </c>
      <c r="B475" s="1" t="str">
        <f>VLOOKUP(C475,'Code ONU'!$C$1:$E$231,3,FALSE)</f>
        <v>Moyen-Orient</v>
      </c>
      <c r="C475" s="1" t="s">
        <v>173</v>
      </c>
      <c r="D475" s="1">
        <v>2014</v>
      </c>
      <c r="E475" s="7">
        <v>3794</v>
      </c>
      <c r="F475" s="7">
        <v>16</v>
      </c>
      <c r="G475" s="4">
        <v>4.2171850289931473E-3</v>
      </c>
    </row>
    <row r="476" spans="1:7" x14ac:dyDescent="0.3">
      <c r="A476" s="1" t="s">
        <v>176</v>
      </c>
      <c r="B476" s="1" t="str">
        <f>VLOOKUP(C476,'Code ONU'!$C$1:$E$231,3,FALSE)</f>
        <v>Afrique de l'Ouest</v>
      </c>
      <c r="C476" s="1" t="s">
        <v>177</v>
      </c>
      <c r="D476" s="1">
        <v>2014</v>
      </c>
      <c r="E476" s="7">
        <v>27714</v>
      </c>
      <c r="F476" s="7">
        <v>225</v>
      </c>
      <c r="G476" s="4">
        <v>8.1186403983546217E-3</v>
      </c>
    </row>
    <row r="477" spans="1:7" x14ac:dyDescent="0.3">
      <c r="A477" s="1" t="s">
        <v>534</v>
      </c>
      <c r="B477" s="1" t="str">
        <f>VLOOKUP(C477,'Code ONU'!$C$1:$E$231,3,FALSE)</f>
        <v>Europe occidentale</v>
      </c>
      <c r="C477" s="1" t="s">
        <v>181</v>
      </c>
      <c r="D477" s="1">
        <v>2014</v>
      </c>
      <c r="E477" s="7">
        <v>10928</v>
      </c>
      <c r="F477" s="7">
        <v>767</v>
      </c>
      <c r="G477" s="4">
        <v>7.0186676427525616E-2</v>
      </c>
    </row>
    <row r="478" spans="1:7" x14ac:dyDescent="0.3">
      <c r="A478" s="1" t="s">
        <v>186</v>
      </c>
      <c r="B478" s="1" t="str">
        <f>VLOOKUP(C478,'Code ONU'!$C$1:$E$231,3,FALSE)</f>
        <v>Caraïbes</v>
      </c>
      <c r="C478" s="1" t="s">
        <v>187</v>
      </c>
      <c r="D478" s="1">
        <v>2014</v>
      </c>
      <c r="E478" s="7">
        <v>408</v>
      </c>
      <c r="F478" s="7">
        <v>342</v>
      </c>
      <c r="G478" s="4">
        <v>0.83823529411764708</v>
      </c>
    </row>
    <row r="479" spans="1:7" x14ac:dyDescent="0.3">
      <c r="A479" s="1" t="s">
        <v>537</v>
      </c>
      <c r="B479" s="1" t="str">
        <f>VLOOKUP(C479,'Code ONU'!$C$1:$E$231,3,FALSE)</f>
        <v>Afrique de l'Ouest</v>
      </c>
      <c r="C479" s="1" t="s">
        <v>193</v>
      </c>
      <c r="D479" s="1">
        <v>2014</v>
      </c>
      <c r="E479" s="7">
        <v>11330</v>
      </c>
      <c r="F479" s="7">
        <v>2729</v>
      </c>
      <c r="G479" s="4">
        <v>0.24086496028243601</v>
      </c>
    </row>
    <row r="480" spans="1:7" x14ac:dyDescent="0.3">
      <c r="A480" s="1" t="s">
        <v>521</v>
      </c>
      <c r="B480" s="1" t="str">
        <f>VLOOKUP(C480,'Code ONU'!$C$1:$E$231,3,FALSE)</f>
        <v>Afrique centrale</v>
      </c>
      <c r="C480" s="1" t="s">
        <v>145</v>
      </c>
      <c r="D480" s="1">
        <v>2014</v>
      </c>
      <c r="E480" s="7">
        <v>1373</v>
      </c>
      <c r="F480" s="7">
        <v>397</v>
      </c>
      <c r="G480" s="4">
        <v>0.28914785142024763</v>
      </c>
    </row>
    <row r="481" spans="1:7" x14ac:dyDescent="0.3">
      <c r="A481" s="1" t="s">
        <v>538</v>
      </c>
      <c r="B481" s="1" t="str">
        <f>VLOOKUP(C481,'Code ONU'!$C$1:$E$231,3,FALSE)</f>
        <v>Afrique de l'Ouest</v>
      </c>
      <c r="C481" s="1" t="s">
        <v>195</v>
      </c>
      <c r="D481" s="1">
        <v>2014</v>
      </c>
      <c r="E481" s="7">
        <v>1719</v>
      </c>
      <c r="F481" s="7">
        <v>264</v>
      </c>
      <c r="G481" s="4">
        <v>0.15357766143106458</v>
      </c>
    </row>
    <row r="482" spans="1:7" x14ac:dyDescent="0.3">
      <c r="A482" s="1" t="s">
        <v>529</v>
      </c>
      <c r="B482" s="1" t="str">
        <f>VLOOKUP(C482,'Code ONU'!$C$1:$E$231,3,FALSE)</f>
        <v>Amériques</v>
      </c>
      <c r="C482" s="1" t="s">
        <v>165</v>
      </c>
      <c r="D482" s="1">
        <v>2014</v>
      </c>
      <c r="E482" s="7">
        <v>257</v>
      </c>
      <c r="F482" s="7">
        <v>159</v>
      </c>
      <c r="G482" s="4">
        <v>0.61867704280155644</v>
      </c>
    </row>
    <row r="483" spans="1:7" x14ac:dyDescent="0.3">
      <c r="A483" s="1" t="s">
        <v>539</v>
      </c>
      <c r="B483" s="1" t="str">
        <f>VLOOKUP(C483,'Code ONU'!$C$1:$E$231,3,FALSE)</f>
        <v>Caraïbes</v>
      </c>
      <c r="C483" s="1" t="s">
        <v>199</v>
      </c>
      <c r="D483" s="1">
        <v>2014</v>
      </c>
      <c r="E483" s="7">
        <v>10298</v>
      </c>
      <c r="F483" s="7">
        <v>4325</v>
      </c>
      <c r="G483" s="4">
        <v>0.41998446300252479</v>
      </c>
    </row>
    <row r="484" spans="1:7" x14ac:dyDescent="0.3">
      <c r="A484" s="1" t="s">
        <v>540</v>
      </c>
      <c r="B484" s="1" t="str">
        <f>VLOOKUP(C484,'Code ONU'!$C$1:$E$231,3,FALSE)</f>
        <v>Europe centrale et orientale</v>
      </c>
      <c r="C484" s="1" t="s">
        <v>203</v>
      </c>
      <c r="D484" s="1">
        <v>2014</v>
      </c>
      <c r="E484" s="7">
        <v>9874</v>
      </c>
      <c r="F484" s="7">
        <v>117</v>
      </c>
      <c r="G484" s="4">
        <v>1.1849301195057726E-2</v>
      </c>
    </row>
    <row r="485" spans="1:7" x14ac:dyDescent="0.3">
      <c r="A485" s="1" t="s">
        <v>629</v>
      </c>
      <c r="B485" s="1" t="str">
        <f>VLOOKUP(C485,'Code ONU'!$C$1:$E$231,3,FALSE)</f>
        <v>Océanie</v>
      </c>
      <c r="C485" s="1" t="s">
        <v>468</v>
      </c>
      <c r="D485" s="1">
        <v>2014</v>
      </c>
      <c r="E485" s="7">
        <v>12</v>
      </c>
      <c r="F485" s="7">
        <v>10</v>
      </c>
      <c r="G485" s="4">
        <v>0.83333333333333337</v>
      </c>
    </row>
    <row r="486" spans="1:7" x14ac:dyDescent="0.3">
      <c r="A486" s="1" t="s">
        <v>545</v>
      </c>
      <c r="B486" s="1" t="str">
        <f>VLOOKUP(C486,'Code ONU'!$C$1:$E$231,3,FALSE)</f>
        <v>Europe occidentale</v>
      </c>
      <c r="C486" s="1" t="s">
        <v>215</v>
      </c>
      <c r="D486" s="1">
        <v>2014</v>
      </c>
      <c r="E486" s="7">
        <v>4639</v>
      </c>
      <c r="F486" s="7">
        <v>576</v>
      </c>
      <c r="G486" s="4">
        <v>0.12416469066609183</v>
      </c>
    </row>
    <row r="487" spans="1:7" x14ac:dyDescent="0.3">
      <c r="A487" s="1" t="s">
        <v>547</v>
      </c>
      <c r="B487" s="1" t="str">
        <f>VLOOKUP(C487,'Code ONU'!$C$1:$E$231,3,FALSE)</f>
        <v>Moyen-Orient</v>
      </c>
      <c r="C487" s="1" t="s">
        <v>219</v>
      </c>
      <c r="D487" s="1">
        <v>2014</v>
      </c>
      <c r="E487" s="7">
        <v>7821</v>
      </c>
      <c r="F487" s="7">
        <v>0</v>
      </c>
      <c r="G487" s="4">
        <v>0</v>
      </c>
    </row>
    <row r="488" spans="1:7" x14ac:dyDescent="0.3">
      <c r="A488" s="1" t="s">
        <v>548</v>
      </c>
      <c r="B488" s="1" t="str">
        <f>VLOOKUP(C488,'Code ONU'!$C$1:$E$231,3,FALSE)</f>
        <v>Europe occidentale</v>
      </c>
      <c r="C488" s="1" t="s">
        <v>221</v>
      </c>
      <c r="D488" s="1">
        <v>2014</v>
      </c>
      <c r="E488" s="7">
        <v>60689</v>
      </c>
      <c r="F488" s="7">
        <v>9324</v>
      </c>
      <c r="G488" s="4">
        <v>0.15363574947684094</v>
      </c>
    </row>
    <row r="489" spans="1:7" x14ac:dyDescent="0.3">
      <c r="A489" s="1" t="s">
        <v>554</v>
      </c>
      <c r="B489" s="1" t="str">
        <f>VLOOKUP(C489,'Code ONU'!$C$1:$E$231,3,FALSE)</f>
        <v>Asie</v>
      </c>
      <c r="C489" s="1" t="s">
        <v>241</v>
      </c>
      <c r="D489" s="1">
        <v>2014</v>
      </c>
      <c r="E489" s="7">
        <v>6658</v>
      </c>
      <c r="F489" s="7">
        <v>180</v>
      </c>
      <c r="G489" s="4">
        <v>2.7035145689396214E-2</v>
      </c>
    </row>
    <row r="490" spans="1:7" x14ac:dyDescent="0.3">
      <c r="A490" s="1" t="s">
        <v>555</v>
      </c>
      <c r="B490" s="1" t="str">
        <f>VLOOKUP(C490,'Code ONU'!$C$1:$E$231,3,FALSE)</f>
        <v>Europe occidentale</v>
      </c>
      <c r="C490" s="1" t="s">
        <v>243</v>
      </c>
      <c r="D490" s="1">
        <v>2014</v>
      </c>
      <c r="E490" s="7">
        <v>2002</v>
      </c>
      <c r="F490" s="7">
        <v>26</v>
      </c>
      <c r="G490" s="4">
        <v>1.2987012987012988E-2</v>
      </c>
    </row>
    <row r="491" spans="1:7" x14ac:dyDescent="0.3">
      <c r="A491" s="1" t="s">
        <v>556</v>
      </c>
      <c r="B491" s="1" t="str">
        <f>VLOOKUP(C491,'Code ONU'!$C$1:$E$231,3,FALSE)</f>
        <v>Moyen-Orient</v>
      </c>
      <c r="C491" s="1" t="s">
        <v>245</v>
      </c>
      <c r="D491" s="1">
        <v>2014</v>
      </c>
      <c r="E491" s="7">
        <v>6150</v>
      </c>
      <c r="F491" s="7">
        <v>2336</v>
      </c>
      <c r="G491" s="4">
        <v>0.37983739837398373</v>
      </c>
    </row>
    <row r="492" spans="1:7" x14ac:dyDescent="0.3">
      <c r="A492" s="1" t="s">
        <v>559</v>
      </c>
      <c r="B492" s="1" t="str">
        <f>VLOOKUP(C492,'Code ONU'!$C$1:$E$231,3,FALSE)</f>
        <v>Europe occidentale</v>
      </c>
      <c r="C492" s="1" t="s">
        <v>255</v>
      </c>
      <c r="D492" s="1">
        <v>2014</v>
      </c>
      <c r="E492" s="7">
        <v>2944</v>
      </c>
      <c r="F492" s="7">
        <v>74</v>
      </c>
      <c r="G492" s="4">
        <v>2.5135869565217392E-2</v>
      </c>
    </row>
    <row r="493" spans="1:7" x14ac:dyDescent="0.3">
      <c r="A493" s="1" t="s">
        <v>256</v>
      </c>
      <c r="B493" s="1" t="str">
        <f>VLOOKUP(C493,'Code ONU'!$C$1:$E$231,3,FALSE)</f>
        <v>Europe occidentale</v>
      </c>
      <c r="C493" s="1" t="s">
        <v>257</v>
      </c>
      <c r="D493" s="1">
        <v>2014</v>
      </c>
      <c r="E493" s="7">
        <v>550</v>
      </c>
      <c r="F493" s="7">
        <v>527</v>
      </c>
      <c r="G493" s="4">
        <v>0.95818181818181813</v>
      </c>
    </row>
    <row r="494" spans="1:7" x14ac:dyDescent="0.3">
      <c r="A494" s="1" t="s">
        <v>577</v>
      </c>
      <c r="B494" s="1" t="str">
        <f>VLOOKUP(C494,'Code ONU'!$C$1:$E$231,3,FALSE)</f>
        <v>Europe centrale et orientale</v>
      </c>
      <c r="C494" s="1" t="s">
        <v>319</v>
      </c>
      <c r="D494" s="1">
        <v>2014</v>
      </c>
      <c r="E494" s="7">
        <v>2006</v>
      </c>
      <c r="F494" s="7">
        <v>41</v>
      </c>
      <c r="G494" s="4">
        <v>2.0438683948155532E-2</v>
      </c>
    </row>
    <row r="495" spans="1:7" x14ac:dyDescent="0.3">
      <c r="A495" s="1" t="s">
        <v>258</v>
      </c>
      <c r="B495" s="1" t="str">
        <f>VLOOKUP(C495,'Code ONU'!$C$1:$E$231,3,FALSE)</f>
        <v>Afrique australe et Océan Indien</v>
      </c>
      <c r="C495" s="1" t="s">
        <v>259</v>
      </c>
      <c r="D495" s="1">
        <v>2014</v>
      </c>
      <c r="E495" s="7">
        <v>24435</v>
      </c>
      <c r="F495" s="7">
        <v>4887</v>
      </c>
      <c r="G495" s="4">
        <v>0.2</v>
      </c>
    </row>
    <row r="496" spans="1:7" x14ac:dyDescent="0.3">
      <c r="A496" s="1" t="s">
        <v>266</v>
      </c>
      <c r="B496" s="1" t="str">
        <f>VLOOKUP(C496,'Code ONU'!$C$1:$E$231,3,FALSE)</f>
        <v>Afrique de l'Ouest</v>
      </c>
      <c r="C496" s="1" t="s">
        <v>267</v>
      </c>
      <c r="D496" s="1">
        <v>2014</v>
      </c>
      <c r="E496" s="7">
        <v>17738</v>
      </c>
      <c r="F496" s="7">
        <v>2994</v>
      </c>
      <c r="G496" s="4">
        <v>0.16879016800090202</v>
      </c>
    </row>
    <row r="497" spans="1:7" x14ac:dyDescent="0.3">
      <c r="A497" s="1" t="s">
        <v>561</v>
      </c>
      <c r="B497" s="1" t="str">
        <f>VLOOKUP(C497,'Code ONU'!$C$1:$E$231,3,FALSE)</f>
        <v>Europe occidentale</v>
      </c>
      <c r="C497" s="1" t="s">
        <v>269</v>
      </c>
      <c r="D497" s="1">
        <v>2014</v>
      </c>
      <c r="E497" s="7">
        <v>429</v>
      </c>
      <c r="F497" s="7">
        <v>55</v>
      </c>
      <c r="G497" s="4">
        <v>0.12820512820512819</v>
      </c>
    </row>
    <row r="498" spans="1:7" x14ac:dyDescent="0.3">
      <c r="A498" s="1" t="s">
        <v>569</v>
      </c>
      <c r="B498" s="1" t="str">
        <f>VLOOKUP(C498,'Code ONU'!$C$1:$E$231,3,FALSE)</f>
        <v>Afrique du Nord</v>
      </c>
      <c r="C498" s="1" t="s">
        <v>293</v>
      </c>
      <c r="D498" s="1">
        <v>2014</v>
      </c>
      <c r="E498" s="7">
        <v>34000</v>
      </c>
      <c r="F498" s="7">
        <v>10671</v>
      </c>
      <c r="G498" s="4">
        <v>0.31385294117647061</v>
      </c>
    </row>
    <row r="499" spans="1:7" x14ac:dyDescent="0.3">
      <c r="A499" s="1" t="s">
        <v>272</v>
      </c>
      <c r="B499" s="1" t="str">
        <f>VLOOKUP(C499,'Code ONU'!$C$1:$E$231,3,FALSE)</f>
        <v>Caraïbes</v>
      </c>
      <c r="C499" s="1" t="s">
        <v>273</v>
      </c>
      <c r="D499" s="1">
        <v>2014</v>
      </c>
      <c r="E499" s="7">
        <v>388</v>
      </c>
      <c r="F499" s="7">
        <v>315</v>
      </c>
      <c r="G499" s="4">
        <v>0.81185567010309279</v>
      </c>
    </row>
    <row r="500" spans="1:7" x14ac:dyDescent="0.3">
      <c r="A500" s="1" t="s">
        <v>272</v>
      </c>
      <c r="B500" s="1" t="str">
        <f>VLOOKUP(C500,'Code ONU'!$C$1:$E$231,3,FALSE)</f>
        <v>Caraïbes</v>
      </c>
      <c r="C500" s="1" t="s">
        <v>273</v>
      </c>
      <c r="D500" s="1">
        <v>2014</v>
      </c>
      <c r="E500" s="7">
        <v>37</v>
      </c>
      <c r="F500" s="7"/>
      <c r="G500" s="4">
        <v>0</v>
      </c>
    </row>
    <row r="501" spans="1:7" x14ac:dyDescent="0.3">
      <c r="A501" s="1" t="s">
        <v>564</v>
      </c>
      <c r="B501" s="1" t="str">
        <f>VLOOKUP(C501,'Code ONU'!$C$1:$E$231,3,FALSE)</f>
        <v>Afrique australe et Océan Indien</v>
      </c>
      <c r="C501" s="1" t="s">
        <v>277</v>
      </c>
      <c r="D501" s="1">
        <v>2014</v>
      </c>
      <c r="E501" s="7">
        <v>1292</v>
      </c>
      <c r="F501" s="7">
        <v>938</v>
      </c>
      <c r="G501" s="4">
        <v>0.72600619195046434</v>
      </c>
    </row>
    <row r="502" spans="1:7" x14ac:dyDescent="0.3">
      <c r="A502" s="1" t="s">
        <v>563</v>
      </c>
      <c r="B502" s="1" t="str">
        <f>VLOOKUP(C502,'Code ONU'!$C$1:$E$231,3,FALSE)</f>
        <v>Afrique du Nord</v>
      </c>
      <c r="C502" s="1" t="s">
        <v>275</v>
      </c>
      <c r="D502" s="1">
        <v>2014</v>
      </c>
      <c r="E502" s="7">
        <v>3791</v>
      </c>
      <c r="F502" s="7">
        <v>491</v>
      </c>
      <c r="G502" s="4">
        <v>0.12951727776312319</v>
      </c>
    </row>
    <row r="503" spans="1:7" x14ac:dyDescent="0.3">
      <c r="A503" s="1" t="s">
        <v>278</v>
      </c>
      <c r="B503" s="1" t="str">
        <f>VLOOKUP(C503,'Code ONU'!$C$1:$E$231,3,FALSE)</f>
        <v>Afrique australe et Océan Indien</v>
      </c>
      <c r="C503" s="1" t="s">
        <v>279</v>
      </c>
      <c r="D503" s="1">
        <v>2014</v>
      </c>
      <c r="E503" s="7">
        <v>231</v>
      </c>
      <c r="F503" s="7">
        <v>146</v>
      </c>
      <c r="G503" s="4">
        <v>0.63203463203463206</v>
      </c>
    </row>
    <row r="504" spans="1:7" x14ac:dyDescent="0.3">
      <c r="A504" s="1" t="s">
        <v>565</v>
      </c>
      <c r="B504" s="1" t="str">
        <f>VLOOKUP(C504,'Code ONU'!$C$1:$E$231,3,FALSE)</f>
        <v>Amériques</v>
      </c>
      <c r="C504" s="1" t="s">
        <v>281</v>
      </c>
      <c r="D504" s="1">
        <v>2014</v>
      </c>
      <c r="E504" s="7">
        <v>119105</v>
      </c>
      <c r="F504" s="7"/>
      <c r="G504" s="4">
        <v>0</v>
      </c>
    </row>
    <row r="505" spans="1:7" x14ac:dyDescent="0.3">
      <c r="A505" s="1" t="s">
        <v>585</v>
      </c>
      <c r="B505" s="1" t="str">
        <f>VLOOKUP(C505,'Code ONU'!$C$1:$E$231,3,FALSE)</f>
        <v>Europe centrale et orientale</v>
      </c>
      <c r="C505" s="1" t="s">
        <v>350</v>
      </c>
      <c r="D505" s="1">
        <v>2014</v>
      </c>
      <c r="E505" s="7">
        <v>3372</v>
      </c>
      <c r="F505" s="7">
        <v>82</v>
      </c>
      <c r="G505" s="4">
        <v>2.4317912218268092E-2</v>
      </c>
    </row>
    <row r="506" spans="1:7" x14ac:dyDescent="0.3">
      <c r="A506" s="1" t="s">
        <v>284</v>
      </c>
      <c r="B506" s="1" t="str">
        <f>VLOOKUP(C506,'Code ONU'!$C$1:$E$231,3,FALSE)</f>
        <v>Europe occidentale</v>
      </c>
      <c r="C506" s="1" t="s">
        <v>285</v>
      </c>
      <c r="D506" s="1">
        <v>2014</v>
      </c>
      <c r="E506" s="7">
        <v>36</v>
      </c>
      <c r="F506" s="7">
        <v>28</v>
      </c>
      <c r="G506" s="4">
        <v>0.77777777777777779</v>
      </c>
    </row>
    <row r="507" spans="1:7" x14ac:dyDescent="0.3">
      <c r="A507" s="1" t="s">
        <v>568</v>
      </c>
      <c r="B507" s="1" t="str">
        <f>VLOOKUP(C507,'Code ONU'!$C$1:$E$231,3,FALSE)</f>
        <v>Europe centrale et orientale</v>
      </c>
      <c r="C507" s="1" t="s">
        <v>289</v>
      </c>
      <c r="D507" s="1">
        <v>2014</v>
      </c>
      <c r="E507" s="7">
        <v>633</v>
      </c>
      <c r="F507" s="7">
        <v>13</v>
      </c>
      <c r="G507" s="4">
        <v>2.0537124802527645E-2</v>
      </c>
    </row>
    <row r="508" spans="1:7" x14ac:dyDescent="0.3">
      <c r="A508" s="1" t="s">
        <v>294</v>
      </c>
      <c r="B508" s="1" t="str">
        <f>VLOOKUP(C508,'Code ONU'!$C$1:$E$231,3,FALSE)</f>
        <v>Afrique de l'Est</v>
      </c>
      <c r="C508" s="1" t="s">
        <v>295</v>
      </c>
      <c r="D508" s="1">
        <v>2014</v>
      </c>
      <c r="E508" s="7">
        <v>25415</v>
      </c>
      <c r="F508" s="7">
        <v>76</v>
      </c>
      <c r="G508" s="4">
        <v>2.9903600236081056E-3</v>
      </c>
    </row>
    <row r="509" spans="1:7" x14ac:dyDescent="0.3">
      <c r="A509" s="1" t="s">
        <v>312</v>
      </c>
      <c r="B509" s="1" t="str">
        <f>VLOOKUP(C509,'Code ONU'!$C$1:$E$231,3,FALSE)</f>
        <v>Afrique de l'Ouest</v>
      </c>
      <c r="C509" s="1" t="s">
        <v>313</v>
      </c>
      <c r="D509" s="1">
        <v>2014</v>
      </c>
      <c r="E509" s="7">
        <v>18862</v>
      </c>
      <c r="F509" s="7">
        <v>2388</v>
      </c>
      <c r="G509" s="4">
        <v>0.12660375357862369</v>
      </c>
    </row>
    <row r="510" spans="1:7" x14ac:dyDescent="0.3">
      <c r="A510" s="1" t="s">
        <v>579</v>
      </c>
      <c r="B510" s="1" t="str">
        <f>VLOOKUP(C510,'Code ONU'!$C$1:$E$231,3,FALSE)</f>
        <v>Europe occidentale</v>
      </c>
      <c r="C510" s="1" t="s">
        <v>323</v>
      </c>
      <c r="D510" s="1">
        <v>2014</v>
      </c>
      <c r="E510" s="7">
        <v>5109</v>
      </c>
      <c r="F510" s="7">
        <v>322</v>
      </c>
      <c r="G510" s="4">
        <v>6.3026032491681344E-2</v>
      </c>
    </row>
    <row r="511" spans="1:7" x14ac:dyDescent="0.3">
      <c r="A511" s="1" t="s">
        <v>573</v>
      </c>
      <c r="B511" s="1" t="str">
        <f>VLOOKUP(C511,'Code ONU'!$C$1:$E$231,3,FALSE)</f>
        <v>Océanie</v>
      </c>
      <c r="C511" s="1" t="s">
        <v>307</v>
      </c>
      <c r="D511" s="1">
        <v>2014</v>
      </c>
      <c r="E511" s="7">
        <v>279</v>
      </c>
      <c r="F511" s="7">
        <v>276</v>
      </c>
      <c r="G511" s="4">
        <v>0.989247311827957</v>
      </c>
    </row>
    <row r="512" spans="1:7" x14ac:dyDescent="0.3">
      <c r="A512" s="1" t="s">
        <v>334</v>
      </c>
      <c r="B512" s="1" t="str">
        <f>VLOOKUP(C512,'Code ONU'!$C$1:$E$231,3,FALSE)</f>
        <v>Amériques</v>
      </c>
      <c r="C512" s="1" t="s">
        <v>335</v>
      </c>
      <c r="D512" s="1">
        <v>2014</v>
      </c>
      <c r="E512" s="7">
        <v>6026</v>
      </c>
      <c r="F512" s="7"/>
      <c r="G512" s="4">
        <v>0</v>
      </c>
    </row>
    <row r="513" spans="1:7" x14ac:dyDescent="0.3">
      <c r="A513" s="1" t="s">
        <v>572</v>
      </c>
      <c r="B513" s="1" t="str">
        <f>VLOOKUP(C513,'Code ONU'!$C$1:$E$231,3,FALSE)</f>
        <v>Europe occidentale</v>
      </c>
      <c r="C513" s="1" t="s">
        <v>305</v>
      </c>
      <c r="D513" s="1">
        <v>2014</v>
      </c>
      <c r="E513" s="7">
        <v>16993</v>
      </c>
      <c r="F513" s="7">
        <v>3646</v>
      </c>
      <c r="G513" s="4">
        <v>0.21455893603248397</v>
      </c>
    </row>
    <row r="514" spans="1:7" x14ac:dyDescent="0.3">
      <c r="A514" s="1" t="s">
        <v>583</v>
      </c>
      <c r="B514" s="1" t="str">
        <f>VLOOKUP(C514,'Code ONU'!$C$1:$E$231,3,FALSE)</f>
        <v>Europe centrale et orientale</v>
      </c>
      <c r="C514" s="1" t="s">
        <v>341</v>
      </c>
      <c r="D514" s="1">
        <v>2014</v>
      </c>
      <c r="E514" s="7">
        <v>38264</v>
      </c>
      <c r="F514" s="7">
        <v>1035</v>
      </c>
      <c r="G514" s="4">
        <v>2.7048923269914281E-2</v>
      </c>
    </row>
    <row r="515" spans="1:7" x14ac:dyDescent="0.3">
      <c r="A515" s="1" t="s">
        <v>530</v>
      </c>
      <c r="B515" s="1" t="str">
        <f>VLOOKUP(C515,'Code ONU'!$C$1:$E$231,3,FALSE)</f>
        <v>Océanie</v>
      </c>
      <c r="C515" s="1" t="s">
        <v>167</v>
      </c>
      <c r="D515" s="1">
        <v>2014</v>
      </c>
      <c r="E515" s="7">
        <v>276</v>
      </c>
      <c r="F515" s="7">
        <v>269</v>
      </c>
      <c r="G515" s="4">
        <v>0.97463768115942029</v>
      </c>
    </row>
    <row r="516" spans="1:7" x14ac:dyDescent="0.3">
      <c r="A516" s="1" t="s">
        <v>342</v>
      </c>
      <c r="B516" s="1" t="str">
        <f>VLOOKUP(C516,'Code ONU'!$C$1:$E$231,3,FALSE)</f>
        <v>Europe occidentale</v>
      </c>
      <c r="C516" s="1" t="s">
        <v>343</v>
      </c>
      <c r="D516" s="1">
        <v>2014</v>
      </c>
      <c r="E516" s="7">
        <v>10430</v>
      </c>
      <c r="F516" s="7">
        <v>2382</v>
      </c>
      <c r="G516" s="4">
        <v>0.22837967401725792</v>
      </c>
    </row>
    <row r="517" spans="1:7" x14ac:dyDescent="0.3">
      <c r="A517" s="1" t="s">
        <v>346</v>
      </c>
      <c r="B517" s="1" t="str">
        <f>VLOOKUP(C517,'Code ONU'!$C$1:$E$231,3,FALSE)</f>
        <v>Moyen-Orient</v>
      </c>
      <c r="C517" s="1" t="s">
        <v>347</v>
      </c>
      <c r="D517" s="1">
        <v>2014</v>
      </c>
      <c r="E517" s="7">
        <v>2110</v>
      </c>
      <c r="F517" s="7">
        <v>90</v>
      </c>
      <c r="G517" s="4">
        <v>4.2654028436018961E-2</v>
      </c>
    </row>
    <row r="518" spans="1:7" x14ac:dyDescent="0.3">
      <c r="A518" s="1" t="s">
        <v>518</v>
      </c>
      <c r="B518" s="1" t="str">
        <f>VLOOKUP(C518,'Code ONU'!$C$1:$E$231,3,FALSE)</f>
        <v>Caraïbes</v>
      </c>
      <c r="C518" s="1" t="s">
        <v>137</v>
      </c>
      <c r="D518" s="1">
        <v>2014</v>
      </c>
      <c r="E518" s="7">
        <v>10255</v>
      </c>
      <c r="F518" s="7">
        <v>147</v>
      </c>
      <c r="G518" s="4">
        <v>1.4334470989761093E-2</v>
      </c>
    </row>
    <row r="519" spans="1:7" x14ac:dyDescent="0.3">
      <c r="A519" s="1" t="s">
        <v>641</v>
      </c>
      <c r="B519" s="1" t="str">
        <f>VLOOKUP(C519,'Code ONU'!$C$1:$E$231,3,FALSE)</f>
        <v>Europe centrale et orientale</v>
      </c>
      <c r="C519" s="1" t="s">
        <v>125</v>
      </c>
      <c r="D519" s="1">
        <v>2014</v>
      </c>
      <c r="E519" s="7">
        <v>10512</v>
      </c>
      <c r="F519" s="7">
        <v>184</v>
      </c>
      <c r="G519" s="4">
        <v>1.7503805175038051E-2</v>
      </c>
    </row>
    <row r="520" spans="1:7" x14ac:dyDescent="0.3">
      <c r="A520" s="1" t="s">
        <v>351</v>
      </c>
      <c r="B520" s="1" t="str">
        <f>VLOOKUP(C520,'Code ONU'!$C$1:$E$231,3,FALSE)</f>
        <v>Afrique australe et Océan Indien</v>
      </c>
      <c r="C520" s="1" t="s">
        <v>352</v>
      </c>
      <c r="D520" s="1">
        <v>2014</v>
      </c>
      <c r="E520" s="7">
        <v>851</v>
      </c>
      <c r="F520" s="7">
        <v>749</v>
      </c>
      <c r="G520" s="4">
        <v>0.88014101057579319</v>
      </c>
    </row>
    <row r="521" spans="1:7" x14ac:dyDescent="0.3">
      <c r="A521" s="1" t="s">
        <v>586</v>
      </c>
      <c r="B521" s="1" t="str">
        <f>VLOOKUP(C521,'Code ONU'!$C$1:$E$231,3,FALSE)</f>
        <v>Europe centrale et orientale</v>
      </c>
      <c r="C521" s="1" t="s">
        <v>354</v>
      </c>
      <c r="D521" s="1">
        <v>2014</v>
      </c>
      <c r="E521" s="7">
        <v>20015</v>
      </c>
      <c r="F521" s="7">
        <v>1760</v>
      </c>
      <c r="G521" s="4">
        <v>8.7934049462902827E-2</v>
      </c>
    </row>
    <row r="522" spans="1:7" x14ac:dyDescent="0.3">
      <c r="A522" s="1" t="s">
        <v>623</v>
      </c>
      <c r="B522" s="1" t="str">
        <f>VLOOKUP(C522,'Code ONU'!$C$1:$E$231,3,FALSE)</f>
        <v>Europe occidentale</v>
      </c>
      <c r="C522" s="1" t="s">
        <v>450</v>
      </c>
      <c r="D522" s="1">
        <v>2014</v>
      </c>
      <c r="E522" s="7">
        <v>64610</v>
      </c>
      <c r="F522" s="7">
        <v>10646</v>
      </c>
      <c r="G522" s="4">
        <v>0.1647732549141</v>
      </c>
    </row>
    <row r="523" spans="1:7" x14ac:dyDescent="0.3">
      <c r="A523" s="1" t="s">
        <v>357</v>
      </c>
      <c r="B523" s="1" t="str">
        <f>VLOOKUP(C523,'Code ONU'!$C$1:$E$231,3,FALSE)</f>
        <v>Afrique de l'Est</v>
      </c>
      <c r="C523" s="1" t="s">
        <v>358</v>
      </c>
      <c r="D523" s="1">
        <v>2014</v>
      </c>
      <c r="E523" s="7">
        <v>11228</v>
      </c>
      <c r="F523" s="7">
        <v>632</v>
      </c>
      <c r="G523" s="4">
        <v>5.6287851799073745E-2</v>
      </c>
    </row>
    <row r="524" spans="1:7" x14ac:dyDescent="0.3">
      <c r="A524" s="1" t="s">
        <v>588</v>
      </c>
      <c r="B524" s="1" t="str">
        <f>VLOOKUP(C524,'Code ONU'!$C$1:$E$231,3,FALSE)</f>
        <v>Caraïbes</v>
      </c>
      <c r="C524" s="1" t="s">
        <v>360</v>
      </c>
      <c r="D524" s="1">
        <v>2014</v>
      </c>
      <c r="E524" s="7">
        <v>9</v>
      </c>
      <c r="F524" s="7"/>
      <c r="G524" s="4">
        <v>0</v>
      </c>
    </row>
    <row r="525" spans="1:7" x14ac:dyDescent="0.3">
      <c r="A525" s="1" t="s">
        <v>591</v>
      </c>
      <c r="B525" s="1" t="str">
        <f>VLOOKUP(C525,'Code ONU'!$C$1:$E$231,3,FALSE)</f>
        <v>Caraïbes</v>
      </c>
      <c r="C525" s="1" t="s">
        <v>366</v>
      </c>
      <c r="D525" s="1">
        <v>2014</v>
      </c>
      <c r="E525" s="7">
        <v>174</v>
      </c>
      <c r="F525" s="7">
        <v>3</v>
      </c>
      <c r="G525" s="4">
        <v>1.7241379310344827E-2</v>
      </c>
    </row>
    <row r="526" spans="1:7" x14ac:dyDescent="0.3">
      <c r="A526" s="1" t="s">
        <v>593</v>
      </c>
      <c r="B526" s="1" t="str">
        <f>VLOOKUP(C526,'Code ONU'!$C$1:$E$231,3,FALSE)</f>
        <v>Amériques</v>
      </c>
      <c r="C526" s="1" t="s">
        <v>370</v>
      </c>
      <c r="D526" s="1">
        <v>2014</v>
      </c>
      <c r="E526" s="7">
        <v>6</v>
      </c>
      <c r="F526" s="7">
        <v>6</v>
      </c>
      <c r="G526" s="4">
        <v>1</v>
      </c>
    </row>
    <row r="527" spans="1:7" x14ac:dyDescent="0.3">
      <c r="A527" s="1" t="s">
        <v>595</v>
      </c>
      <c r="B527" s="1" t="str">
        <f>VLOOKUP(C527,'Code ONU'!$C$1:$E$231,3,FALSE)</f>
        <v>Afrique centrale</v>
      </c>
      <c r="C527" s="1" t="s">
        <v>376</v>
      </c>
      <c r="D527" s="1">
        <v>2014</v>
      </c>
      <c r="E527" s="7">
        <v>195</v>
      </c>
      <c r="F527" s="7">
        <v>39</v>
      </c>
      <c r="G527" s="4">
        <v>0.2</v>
      </c>
    </row>
    <row r="528" spans="1:7" x14ac:dyDescent="0.3">
      <c r="A528" s="1" t="s">
        <v>597</v>
      </c>
      <c r="B528" s="1" t="str">
        <f>VLOOKUP(C528,'Code ONU'!$C$1:$E$231,3,FALSE)</f>
        <v>Afrique de l'Ouest</v>
      </c>
      <c r="C528" s="1" t="s">
        <v>380</v>
      </c>
      <c r="D528" s="1">
        <v>2014</v>
      </c>
      <c r="E528" s="7">
        <v>13932</v>
      </c>
      <c r="F528" s="7">
        <v>3981</v>
      </c>
      <c r="G528" s="4">
        <v>0.28574504737295436</v>
      </c>
    </row>
    <row r="529" spans="1:7" x14ac:dyDescent="0.3">
      <c r="A529" s="1" t="s">
        <v>598</v>
      </c>
      <c r="B529" s="1" t="str">
        <f>VLOOKUP(C529,'Code ONU'!$C$1:$E$231,3,FALSE)</f>
        <v>Europe centrale et orientale</v>
      </c>
      <c r="C529" s="1" t="s">
        <v>382</v>
      </c>
      <c r="D529" s="1">
        <v>2014</v>
      </c>
      <c r="E529" s="7">
        <v>7252</v>
      </c>
      <c r="F529" s="7">
        <v>245</v>
      </c>
      <c r="G529" s="4">
        <v>3.3783783783783786E-2</v>
      </c>
    </row>
    <row r="530" spans="1:7" x14ac:dyDescent="0.3">
      <c r="A530" s="1" t="s">
        <v>383</v>
      </c>
      <c r="B530" s="1" t="str">
        <f>VLOOKUP(C530,'Code ONU'!$C$1:$E$231,3,FALSE)</f>
        <v>Afrique australe et Océan Indien</v>
      </c>
      <c r="C530" s="1" t="s">
        <v>384</v>
      </c>
      <c r="D530" s="1">
        <v>2014</v>
      </c>
      <c r="E530" s="7">
        <v>103</v>
      </c>
      <c r="F530" s="7">
        <v>55</v>
      </c>
      <c r="G530" s="4">
        <v>0.53398058252427183</v>
      </c>
    </row>
    <row r="531" spans="1:7" x14ac:dyDescent="0.3">
      <c r="A531" s="1" t="s">
        <v>601</v>
      </c>
      <c r="B531" s="1" t="str">
        <f>VLOOKUP(C531,'Code ONU'!$C$1:$E$231,3,FALSE)</f>
        <v>Europe centrale et orientale</v>
      </c>
      <c r="C531" s="1" t="s">
        <v>392</v>
      </c>
      <c r="D531" s="1">
        <v>2014</v>
      </c>
      <c r="E531" s="7">
        <v>5413</v>
      </c>
      <c r="F531" s="7">
        <v>108</v>
      </c>
      <c r="G531" s="4">
        <v>1.9951967485682617E-2</v>
      </c>
    </row>
    <row r="532" spans="1:7" x14ac:dyDescent="0.3">
      <c r="A532" s="1" t="s">
        <v>602</v>
      </c>
      <c r="B532" s="1" t="str">
        <f>VLOOKUP(C532,'Code ONU'!$C$1:$E$231,3,FALSE)</f>
        <v>Europe centrale et orientale</v>
      </c>
      <c r="C532" s="1" t="s">
        <v>394</v>
      </c>
      <c r="D532" s="1">
        <v>2014</v>
      </c>
      <c r="E532" s="7">
        <v>2058</v>
      </c>
      <c r="F532" s="7">
        <v>78</v>
      </c>
      <c r="G532" s="4">
        <v>3.7900874635568516E-2</v>
      </c>
    </row>
    <row r="533" spans="1:7" x14ac:dyDescent="0.3">
      <c r="A533" s="1" t="s">
        <v>610</v>
      </c>
      <c r="B533" s="1" t="str">
        <f>VLOOKUP(C533,'Code ONU'!$C$1:$E$231,3,FALSE)</f>
        <v>Europe occidentale</v>
      </c>
      <c r="C533" s="1" t="s">
        <v>414</v>
      </c>
      <c r="D533" s="1">
        <v>2014</v>
      </c>
      <c r="E533" s="7">
        <v>9645</v>
      </c>
      <c r="F533" s="7">
        <v>1069</v>
      </c>
      <c r="G533" s="4">
        <v>0.11083462934162779</v>
      </c>
    </row>
    <row r="534" spans="1:7" x14ac:dyDescent="0.3">
      <c r="A534" s="1" t="s">
        <v>611</v>
      </c>
      <c r="B534" s="1" t="str">
        <f>VLOOKUP(C534,'Code ONU'!$C$1:$E$231,3,FALSE)</f>
        <v>Europe occidentale</v>
      </c>
      <c r="C534" s="1" t="s">
        <v>416</v>
      </c>
      <c r="D534" s="1">
        <v>2014</v>
      </c>
      <c r="E534" s="7">
        <v>8141</v>
      </c>
      <c r="F534" s="7">
        <v>5338</v>
      </c>
      <c r="G534" s="4">
        <v>0.65569340375875196</v>
      </c>
    </row>
    <row r="535" spans="1:7" x14ac:dyDescent="0.3">
      <c r="A535" s="1" t="s">
        <v>502</v>
      </c>
      <c r="B535" s="1" t="str">
        <f>VLOOKUP(C535,'Code ONU'!$C$1:$E$231,3,FALSE)</f>
        <v>Afrique centrale</v>
      </c>
      <c r="C535" s="1" t="s">
        <v>95</v>
      </c>
      <c r="D535" s="1">
        <v>2014</v>
      </c>
      <c r="E535" s="7">
        <v>13944</v>
      </c>
      <c r="F535" s="7">
        <v>1757</v>
      </c>
      <c r="G535" s="4">
        <v>0.12600401606425704</v>
      </c>
    </row>
    <row r="536" spans="1:7" x14ac:dyDescent="0.3">
      <c r="A536" s="1" t="s">
        <v>614</v>
      </c>
      <c r="B536" s="1" t="str">
        <f>VLOOKUP(C536,'Code ONU'!$C$1:$E$231,3,FALSE)</f>
        <v>Asie</v>
      </c>
      <c r="C536" s="1" t="s">
        <v>422</v>
      </c>
      <c r="D536" s="1">
        <v>2014</v>
      </c>
      <c r="E536" s="7">
        <v>70041</v>
      </c>
      <c r="F536" s="7">
        <v>578</v>
      </c>
      <c r="G536" s="4">
        <v>8.2523093616595992E-3</v>
      </c>
    </row>
    <row r="537" spans="1:7" x14ac:dyDescent="0.3">
      <c r="A537" s="1" t="s">
        <v>425</v>
      </c>
      <c r="B537" s="1" t="str">
        <f>VLOOKUP(C537,'Code ONU'!$C$1:$E$231,3,FALSE)</f>
        <v>Afrique de l'Ouest</v>
      </c>
      <c r="C537" s="1" t="s">
        <v>426</v>
      </c>
      <c r="D537" s="1">
        <v>2014</v>
      </c>
      <c r="E537" s="7">
        <v>7378</v>
      </c>
      <c r="F537" s="7">
        <v>2867</v>
      </c>
      <c r="G537" s="4">
        <v>0.38858769314177283</v>
      </c>
    </row>
    <row r="538" spans="1:7" x14ac:dyDescent="0.3">
      <c r="A538" s="1" t="s">
        <v>617</v>
      </c>
      <c r="B538" s="1" t="str">
        <f>VLOOKUP(C538,'Code ONU'!$C$1:$E$231,3,FALSE)</f>
        <v>Afrique du Nord</v>
      </c>
      <c r="C538" s="1" t="s">
        <v>434</v>
      </c>
      <c r="D538" s="1">
        <v>2014</v>
      </c>
      <c r="E538" s="7">
        <v>11210</v>
      </c>
      <c r="F538" s="7">
        <v>6077</v>
      </c>
      <c r="G538" s="4">
        <v>0.54210526315789476</v>
      </c>
    </row>
    <row r="539" spans="1:7" x14ac:dyDescent="0.3">
      <c r="A539" s="1" t="s">
        <v>445</v>
      </c>
      <c r="B539" s="1" t="str">
        <f>VLOOKUP(C539,'Code ONU'!$C$1:$E$231,3,FALSE)</f>
        <v>Europe centrale et orientale</v>
      </c>
      <c r="C539" s="1" t="s">
        <v>446</v>
      </c>
      <c r="D539" s="1">
        <v>2014</v>
      </c>
      <c r="E539" s="7">
        <v>46075</v>
      </c>
      <c r="F539" s="7">
        <v>56</v>
      </c>
      <c r="G539" s="4">
        <v>1.2154096581660336E-3</v>
      </c>
    </row>
    <row r="540" spans="1:7" x14ac:dyDescent="0.3">
      <c r="A540" s="1" t="s">
        <v>457</v>
      </c>
      <c r="B540" s="1" t="str">
        <f>VLOOKUP(C540,'Code ONU'!$C$1:$E$231,3,FALSE)</f>
        <v>Amériques</v>
      </c>
      <c r="C540" s="1" t="s">
        <v>458</v>
      </c>
      <c r="D540" s="1">
        <v>2014</v>
      </c>
      <c r="E540" s="7">
        <v>3351</v>
      </c>
      <c r="F540" s="7">
        <v>5</v>
      </c>
      <c r="G540" s="4">
        <v>1.4920919128618322E-3</v>
      </c>
    </row>
    <row r="541" spans="1:7" x14ac:dyDescent="0.3">
      <c r="A541" s="1" t="s">
        <v>461</v>
      </c>
      <c r="B541" s="1" t="str">
        <f>VLOOKUP(C541,'Code ONU'!$C$1:$E$231,3,FALSE)</f>
        <v>Océanie</v>
      </c>
      <c r="C541" s="1" t="s">
        <v>462</v>
      </c>
      <c r="D541" s="1">
        <v>2014</v>
      </c>
      <c r="E541" s="7">
        <v>257</v>
      </c>
      <c r="F541" s="7">
        <v>81</v>
      </c>
      <c r="G541" s="4">
        <v>0.31517509727626458</v>
      </c>
    </row>
    <row r="542" spans="1:7" x14ac:dyDescent="0.3">
      <c r="A542" s="1" t="s">
        <v>465</v>
      </c>
      <c r="B542" s="1" t="str">
        <f>VLOOKUP(C542,'Code ONU'!$C$1:$E$231,3,FALSE)</f>
        <v>Asie</v>
      </c>
      <c r="C542" s="1" t="s">
        <v>466</v>
      </c>
      <c r="D542" s="1">
        <v>2014</v>
      </c>
      <c r="E542" s="7">
        <v>91106</v>
      </c>
      <c r="F542" s="7">
        <v>638</v>
      </c>
      <c r="G542" s="4">
        <v>7.0028318661778588E-3</v>
      </c>
    </row>
    <row r="543" spans="1:7" x14ac:dyDescent="0.3">
      <c r="A543" s="1" t="s">
        <v>475</v>
      </c>
      <c r="B543" s="1" t="str">
        <f>VLOOKUP(C543,'Code ONU'!$C$1:$E$231,3,FALSE)</f>
        <v>Europe centrale et orientale</v>
      </c>
      <c r="C543" s="1" t="s">
        <v>8</v>
      </c>
      <c r="D543" s="1">
        <v>2010</v>
      </c>
      <c r="E543" s="7">
        <v>2945</v>
      </c>
      <c r="F543" s="7">
        <v>62</v>
      </c>
      <c r="G543" s="4">
        <v>2.1052631578947368E-2</v>
      </c>
    </row>
    <row r="544" spans="1:7" x14ac:dyDescent="0.3">
      <c r="A544" s="1" t="s">
        <v>476</v>
      </c>
      <c r="B544" s="1" t="str">
        <f>VLOOKUP(C544,'Code ONU'!$C$1:$E$231,3,FALSE)</f>
        <v>Afrique du Nord</v>
      </c>
      <c r="C544" s="1" t="s">
        <v>11</v>
      </c>
      <c r="D544" s="1">
        <v>2010</v>
      </c>
      <c r="E544" s="7">
        <v>35834</v>
      </c>
      <c r="F544" s="7">
        <v>11330</v>
      </c>
      <c r="G544" s="4">
        <v>0.31618016408997041</v>
      </c>
    </row>
    <row r="545" spans="1:7" x14ac:dyDescent="0.3">
      <c r="A545" s="1" t="s">
        <v>533</v>
      </c>
      <c r="B545" s="1" t="str">
        <f>VLOOKUP(C545,'Code ONU'!$C$1:$E$231,3,FALSE)</f>
        <v>Europe occidentale</v>
      </c>
      <c r="C545" s="1" t="s">
        <v>175</v>
      </c>
      <c r="D545" s="1">
        <v>2010</v>
      </c>
      <c r="E545" s="7">
        <v>80858</v>
      </c>
      <c r="F545" s="7"/>
      <c r="G545" s="4">
        <v>0</v>
      </c>
    </row>
    <row r="546" spans="1:7" x14ac:dyDescent="0.3">
      <c r="A546" s="1" t="s">
        <v>478</v>
      </c>
      <c r="B546" s="1" t="str">
        <f>VLOOKUP(C546,'Code ONU'!$C$1:$E$231,3,FALSE)</f>
        <v>Europe occidentale</v>
      </c>
      <c r="C546" s="1" t="s">
        <v>17</v>
      </c>
      <c r="D546" s="1">
        <v>2010</v>
      </c>
      <c r="E546" s="7">
        <v>84</v>
      </c>
      <c r="F546" s="7">
        <v>59</v>
      </c>
      <c r="G546" s="4">
        <v>0.70238095238095233</v>
      </c>
    </row>
    <row r="547" spans="1:7" x14ac:dyDescent="0.3">
      <c r="A547" s="1" t="s">
        <v>481</v>
      </c>
      <c r="B547" s="1" t="str">
        <f>VLOOKUP(C547,'Code ONU'!$C$1:$E$231,3,FALSE)</f>
        <v>Moyen-Orient</v>
      </c>
      <c r="C547" s="1" t="s">
        <v>31</v>
      </c>
      <c r="D547" s="1">
        <v>2010</v>
      </c>
      <c r="E547" s="7">
        <v>2938</v>
      </c>
      <c r="F547" s="7">
        <v>10</v>
      </c>
      <c r="G547" s="4">
        <v>3.4036759700476512E-3</v>
      </c>
    </row>
    <row r="548" spans="1:7" x14ac:dyDescent="0.3">
      <c r="A548" s="1" t="s">
        <v>483</v>
      </c>
      <c r="B548" s="1" t="str">
        <f>VLOOKUP(C548,'Code ONU'!$C$1:$E$231,3,FALSE)</f>
        <v>Europe occidentale</v>
      </c>
      <c r="C548" s="1" t="s">
        <v>38</v>
      </c>
      <c r="D548" s="1">
        <v>2010</v>
      </c>
      <c r="E548" s="7">
        <v>8353</v>
      </c>
      <c r="F548" s="7">
        <v>900</v>
      </c>
      <c r="G548" s="4">
        <v>0.10774572010056267</v>
      </c>
    </row>
    <row r="549" spans="1:7" x14ac:dyDescent="0.3">
      <c r="A549" s="1" t="s">
        <v>488</v>
      </c>
      <c r="B549" s="1" t="str">
        <f>VLOOKUP(C549,'Code ONU'!$C$1:$E$231,3,FALSE)</f>
        <v>Europe occidentale</v>
      </c>
      <c r="C549" s="1" t="s">
        <v>52</v>
      </c>
      <c r="D549" s="1">
        <v>2010</v>
      </c>
      <c r="E549" s="7">
        <v>10872</v>
      </c>
      <c r="F549" s="7">
        <v>8377</v>
      </c>
      <c r="G549" s="4">
        <v>0.77051140544518026</v>
      </c>
    </row>
    <row r="550" spans="1:7" x14ac:dyDescent="0.3">
      <c r="A550" s="1" t="s">
        <v>489</v>
      </c>
      <c r="B550" s="1" t="str">
        <f>VLOOKUP(C550,'Code ONU'!$C$1:$E$231,3,FALSE)</f>
        <v>Afrique de l'Ouest</v>
      </c>
      <c r="C550" s="1" t="s">
        <v>56</v>
      </c>
      <c r="D550" s="1">
        <v>2010</v>
      </c>
      <c r="E550" s="7">
        <v>9652</v>
      </c>
      <c r="F550" s="7">
        <v>3126</v>
      </c>
      <c r="G550" s="4">
        <v>0.32387070037297971</v>
      </c>
    </row>
    <row r="551" spans="1:7" x14ac:dyDescent="0.3">
      <c r="A551" s="1" t="s">
        <v>493</v>
      </c>
      <c r="B551" s="1" t="str">
        <f>VLOOKUP(C551,'Code ONU'!$C$1:$E$231,3,FALSE)</f>
        <v>Europe centrale et orientale</v>
      </c>
      <c r="C551" s="1" t="s">
        <v>65</v>
      </c>
      <c r="D551" s="1">
        <v>2010</v>
      </c>
      <c r="E551" s="7">
        <v>3846</v>
      </c>
      <c r="F551" s="7"/>
      <c r="G551" s="4">
        <v>0</v>
      </c>
    </row>
    <row r="552" spans="1:7" x14ac:dyDescent="0.3">
      <c r="A552" s="1" t="s">
        <v>497</v>
      </c>
      <c r="B552" s="1" t="str">
        <f>VLOOKUP(C552,'Code ONU'!$C$1:$E$231,3,FALSE)</f>
        <v>Europe centrale et orientale</v>
      </c>
      <c r="C552" s="1" t="s">
        <v>76</v>
      </c>
      <c r="D552" s="1">
        <v>2010</v>
      </c>
      <c r="E552" s="7">
        <v>7465</v>
      </c>
      <c r="F552" s="7">
        <v>194.15993181498663</v>
      </c>
      <c r="G552" s="4">
        <v>2.6009367959140876E-2</v>
      </c>
    </row>
    <row r="553" spans="1:7" x14ac:dyDescent="0.3">
      <c r="A553" s="1" t="s">
        <v>77</v>
      </c>
      <c r="B553" s="1" t="str">
        <f>VLOOKUP(C553,'Code ONU'!$C$1:$E$231,3,FALSE)</f>
        <v>Afrique de l'Ouest</v>
      </c>
      <c r="C553" s="1" t="s">
        <v>78</v>
      </c>
      <c r="D553" s="1">
        <v>2010</v>
      </c>
      <c r="E553" s="7">
        <v>15940</v>
      </c>
      <c r="F553" s="7">
        <v>3127</v>
      </c>
      <c r="G553" s="4">
        <v>0.19617314930991217</v>
      </c>
    </row>
    <row r="554" spans="1:7" x14ac:dyDescent="0.3">
      <c r="A554" s="1" t="s">
        <v>79</v>
      </c>
      <c r="B554" s="1" t="str">
        <f>VLOOKUP(C554,'Code ONU'!$C$1:$E$231,3,FALSE)</f>
        <v>Afrique de l'Est</v>
      </c>
      <c r="C554" s="1" t="s">
        <v>80</v>
      </c>
      <c r="D554" s="1">
        <v>2010</v>
      </c>
      <c r="E554" s="7">
        <v>9200</v>
      </c>
      <c r="F554" s="7">
        <v>736</v>
      </c>
      <c r="G554" s="4">
        <v>0.08</v>
      </c>
    </row>
    <row r="555" spans="1:7" x14ac:dyDescent="0.3">
      <c r="A555" s="1" t="s">
        <v>82</v>
      </c>
      <c r="B555" s="1" t="str">
        <f>VLOOKUP(C555,'Code ONU'!$C$1:$E$231,3,FALSE)</f>
        <v>Afrique de l'Ouest</v>
      </c>
      <c r="C555" s="1" t="s">
        <v>83</v>
      </c>
      <c r="D555" s="1">
        <v>2010</v>
      </c>
      <c r="E555" s="7">
        <v>508</v>
      </c>
      <c r="F555" s="7">
        <v>50</v>
      </c>
      <c r="G555" s="4">
        <v>9.8425196850393706E-2</v>
      </c>
    </row>
    <row r="556" spans="1:7" x14ac:dyDescent="0.3">
      <c r="A556" s="1" t="s">
        <v>498</v>
      </c>
      <c r="B556" s="1" t="str">
        <f>VLOOKUP(C556,'Code ONU'!$C$1:$E$231,3,FALSE)</f>
        <v>Asie</v>
      </c>
      <c r="C556" s="1" t="s">
        <v>85</v>
      </c>
      <c r="D556" s="1">
        <v>2010</v>
      </c>
      <c r="E556" s="7">
        <v>14389</v>
      </c>
      <c r="F556" s="7">
        <v>389</v>
      </c>
      <c r="G556" s="4">
        <v>2.7034540273820278E-2</v>
      </c>
    </row>
    <row r="557" spans="1:7" x14ac:dyDescent="0.3">
      <c r="A557" s="1" t="s">
        <v>499</v>
      </c>
      <c r="B557" s="1" t="str">
        <f>VLOOKUP(C557,'Code ONU'!$C$1:$E$231,3,FALSE)</f>
        <v>Afrique centrale</v>
      </c>
      <c r="C557" s="1" t="s">
        <v>87</v>
      </c>
      <c r="D557" s="1">
        <v>2010</v>
      </c>
      <c r="E557" s="7">
        <v>19388</v>
      </c>
      <c r="F557" s="7">
        <v>6876</v>
      </c>
      <c r="G557" s="4">
        <v>0.3546523622859501</v>
      </c>
    </row>
    <row r="558" spans="1:7" x14ac:dyDescent="0.3">
      <c r="A558" s="1" t="s">
        <v>88</v>
      </c>
      <c r="B558" s="1" t="str">
        <f>VLOOKUP(C558,'Code ONU'!$C$1:$E$231,3,FALSE)</f>
        <v>Amériques</v>
      </c>
      <c r="C558" s="1" t="s">
        <v>89</v>
      </c>
      <c r="D558" s="1">
        <v>2010</v>
      </c>
      <c r="E558" s="7">
        <v>34017</v>
      </c>
      <c r="F558" s="7">
        <v>10320</v>
      </c>
      <c r="G558" s="4">
        <v>0.30337772290325427</v>
      </c>
    </row>
    <row r="559" spans="1:7" x14ac:dyDescent="0.3">
      <c r="A559" s="1" t="s">
        <v>501</v>
      </c>
      <c r="B559" s="1" t="str">
        <f>VLOOKUP(C559,'Code ONU'!$C$1:$E$231,3,FALSE)</f>
        <v>Afrique centrale</v>
      </c>
      <c r="C559" s="1" t="s">
        <v>93</v>
      </c>
      <c r="D559" s="1">
        <v>2010</v>
      </c>
      <c r="E559" s="7">
        <v>4449</v>
      </c>
      <c r="F559" s="7">
        <v>1289</v>
      </c>
      <c r="G559" s="4">
        <v>0.28972802877051024</v>
      </c>
    </row>
    <row r="560" spans="1:7" x14ac:dyDescent="0.3">
      <c r="A560" s="1" t="s">
        <v>512</v>
      </c>
      <c r="B560" s="1" t="str">
        <f>VLOOKUP(C560,'Code ONU'!$C$1:$E$231,3,FALSE)</f>
        <v>Moyen-Orient</v>
      </c>
      <c r="C560" s="1" t="s">
        <v>123</v>
      </c>
      <c r="D560" s="1">
        <v>2010</v>
      </c>
      <c r="E560" s="7">
        <v>1119</v>
      </c>
      <c r="F560" s="7">
        <v>139</v>
      </c>
      <c r="G560" s="4">
        <v>0.12421805183199285</v>
      </c>
    </row>
    <row r="561" spans="1:7" x14ac:dyDescent="0.3">
      <c r="A561" s="1" t="s">
        <v>507</v>
      </c>
      <c r="B561" s="1" t="str">
        <f>VLOOKUP(C561,'Code ONU'!$C$1:$E$231,3,FALSE)</f>
        <v>Amériques</v>
      </c>
      <c r="C561" s="1" t="s">
        <v>105</v>
      </c>
      <c r="D561" s="1">
        <v>2010</v>
      </c>
      <c r="E561" s="7">
        <v>44528</v>
      </c>
      <c r="F561" s="7"/>
      <c r="G561" s="4">
        <v>0</v>
      </c>
    </row>
    <row r="562" spans="1:7" x14ac:dyDescent="0.3">
      <c r="A562" s="1" t="s">
        <v>508</v>
      </c>
      <c r="B562" s="1" t="str">
        <f>VLOOKUP(C562,'Code ONU'!$C$1:$E$231,3,FALSE)</f>
        <v>Afrique australe et Océan Indien</v>
      </c>
      <c r="C562" s="1" t="s">
        <v>107</v>
      </c>
      <c r="D562" s="1">
        <v>2010</v>
      </c>
      <c r="E562" s="7">
        <v>648</v>
      </c>
      <c r="F562" s="7">
        <v>133</v>
      </c>
      <c r="G562" s="4">
        <v>0.20524691358024691</v>
      </c>
    </row>
    <row r="563" spans="1:7" x14ac:dyDescent="0.3">
      <c r="A563" s="1" t="s">
        <v>108</v>
      </c>
      <c r="B563" s="1" t="str">
        <f>VLOOKUP(C563,'Code ONU'!$C$1:$E$231,3,FALSE)</f>
        <v>Afrique centrale</v>
      </c>
      <c r="C563" s="1" t="s">
        <v>109</v>
      </c>
      <c r="D563" s="1">
        <v>2010</v>
      </c>
      <c r="E563" s="7">
        <v>4388</v>
      </c>
      <c r="F563" s="7">
        <v>2445</v>
      </c>
      <c r="G563" s="4">
        <v>0.55720145852324521</v>
      </c>
    </row>
    <row r="564" spans="1:7" x14ac:dyDescent="0.3">
      <c r="A564" s="1" t="s">
        <v>515</v>
      </c>
      <c r="B564" s="1" t="str">
        <f>VLOOKUP(C564,'Code ONU'!$C$1:$E$231,3,FALSE)</f>
        <v>Afrique centrale</v>
      </c>
      <c r="C564" s="1" t="s">
        <v>129</v>
      </c>
      <c r="D564" s="1">
        <v>2010</v>
      </c>
      <c r="E564" s="7">
        <v>67453</v>
      </c>
      <c r="F564" s="7">
        <v>30819</v>
      </c>
      <c r="G564" s="4">
        <v>0.4568959127095904</v>
      </c>
    </row>
    <row r="565" spans="1:7" x14ac:dyDescent="0.3">
      <c r="A565" s="1" t="s">
        <v>112</v>
      </c>
      <c r="B565" s="1" t="str">
        <f>VLOOKUP(C565,'Code ONU'!$C$1:$E$231,3,FALSE)</f>
        <v>Amériques</v>
      </c>
      <c r="C565" s="1" t="s">
        <v>113</v>
      </c>
      <c r="D565" s="1">
        <v>2010</v>
      </c>
      <c r="E565" s="7">
        <v>4529</v>
      </c>
      <c r="F565" s="7"/>
      <c r="G565" s="4">
        <v>0</v>
      </c>
    </row>
    <row r="566" spans="1:7" x14ac:dyDescent="0.3">
      <c r="A566" s="1" t="s">
        <v>510</v>
      </c>
      <c r="B566" s="1" t="str">
        <f>VLOOKUP(C566,'Code ONU'!$C$1:$E$231,3,FALSE)</f>
        <v>Afrique de l'Ouest</v>
      </c>
      <c r="C566" s="1" t="s">
        <v>115</v>
      </c>
      <c r="D566" s="1">
        <v>2010</v>
      </c>
      <c r="E566" s="7">
        <v>22241</v>
      </c>
      <c r="F566" s="7">
        <v>7620</v>
      </c>
      <c r="G566" s="4">
        <v>0.34261049413245809</v>
      </c>
    </row>
    <row r="567" spans="1:7" x14ac:dyDescent="0.3">
      <c r="A567" s="1" t="s">
        <v>511</v>
      </c>
      <c r="B567" s="1" t="str">
        <f>VLOOKUP(C567,'Code ONU'!$C$1:$E$231,3,FALSE)</f>
        <v>Europe centrale et orientale</v>
      </c>
      <c r="C567" s="1" t="s">
        <v>117</v>
      </c>
      <c r="D567" s="1">
        <v>2010</v>
      </c>
      <c r="E567" s="7">
        <v>4307</v>
      </c>
      <c r="F567" s="7">
        <v>129</v>
      </c>
      <c r="G567" s="4">
        <v>2.9951242163919201E-2</v>
      </c>
    </row>
    <row r="568" spans="1:7" x14ac:dyDescent="0.3">
      <c r="A568" s="1" t="s">
        <v>516</v>
      </c>
      <c r="B568" s="1" t="str">
        <f>VLOOKUP(C568,'Code ONU'!$C$1:$E$231,3,FALSE)</f>
        <v>Europe occidentale</v>
      </c>
      <c r="C568" s="1" t="s">
        <v>131</v>
      </c>
      <c r="D568" s="1">
        <v>2010</v>
      </c>
      <c r="E568" s="7">
        <v>5535</v>
      </c>
      <c r="F568" s="7"/>
      <c r="G568" s="4">
        <v>0</v>
      </c>
    </row>
    <row r="569" spans="1:7" x14ac:dyDescent="0.3">
      <c r="A569" s="1" t="s">
        <v>132</v>
      </c>
      <c r="B569" s="1" t="str">
        <f>VLOOKUP(C569,'Code ONU'!$C$1:$E$231,3,FALSE)</f>
        <v>Afrique de l'Est</v>
      </c>
      <c r="C569" s="1" t="s">
        <v>133</v>
      </c>
      <c r="D569" s="1">
        <v>2010</v>
      </c>
      <c r="E569" s="7">
        <v>921</v>
      </c>
      <c r="F569" s="7">
        <v>461</v>
      </c>
      <c r="G569" s="4">
        <v>0.500542888165038</v>
      </c>
    </row>
    <row r="570" spans="1:7" x14ac:dyDescent="0.3">
      <c r="A570" s="1" t="s">
        <v>517</v>
      </c>
      <c r="B570" s="1" t="str">
        <f>VLOOKUP(C570,'Code ONU'!$C$1:$E$231,3,FALSE)</f>
        <v>Caraïbes</v>
      </c>
      <c r="C570" s="1" t="s">
        <v>135</v>
      </c>
      <c r="D570" s="1">
        <v>2010</v>
      </c>
      <c r="E570" s="7">
        <v>69</v>
      </c>
      <c r="F570" s="7">
        <v>7</v>
      </c>
      <c r="G570" s="4">
        <v>0.10144927536231885</v>
      </c>
    </row>
    <row r="571" spans="1:7" x14ac:dyDescent="0.3">
      <c r="A571" s="1" t="s">
        <v>520</v>
      </c>
      <c r="B571" s="1" t="str">
        <f>VLOOKUP(C571,'Code ONU'!$C$1:$E$231,3,FALSE)</f>
        <v>Afrique du Nord</v>
      </c>
      <c r="C571" s="1" t="s">
        <v>141</v>
      </c>
      <c r="D571" s="1">
        <v>2010</v>
      </c>
      <c r="E571" s="7">
        <v>88338</v>
      </c>
      <c r="F571" s="7">
        <v>2928</v>
      </c>
      <c r="G571" s="4">
        <v>3.3145418732595258E-2</v>
      </c>
    </row>
    <row r="572" spans="1:7" x14ac:dyDescent="0.3">
      <c r="A572" s="1" t="s">
        <v>639</v>
      </c>
      <c r="B572" s="1" t="str">
        <f>VLOOKUP(C572,'Code ONU'!$C$1:$E$231,3,FALSE)</f>
        <v>Moyen-Orient</v>
      </c>
      <c r="C572" s="1" t="s">
        <v>448</v>
      </c>
      <c r="D572" s="1">
        <v>2010</v>
      </c>
      <c r="E572" s="7">
        <v>6822</v>
      </c>
      <c r="F572" s="7"/>
      <c r="G572" s="4">
        <v>0</v>
      </c>
    </row>
    <row r="573" spans="1:7" x14ac:dyDescent="0.3">
      <c r="A573" s="1" t="s">
        <v>607</v>
      </c>
      <c r="B573" s="1" t="str">
        <f>VLOOKUP(C573,'Code ONU'!$C$1:$E$231,3,FALSE)</f>
        <v>Europe occidentale</v>
      </c>
      <c r="C573" s="1" t="s">
        <v>404</v>
      </c>
      <c r="D573" s="1">
        <v>2010</v>
      </c>
      <c r="E573" s="7">
        <v>46755</v>
      </c>
      <c r="F573" s="7"/>
      <c r="G573" s="4">
        <v>0</v>
      </c>
    </row>
    <row r="574" spans="1:7" x14ac:dyDescent="0.3">
      <c r="A574" s="1" t="s">
        <v>523</v>
      </c>
      <c r="B574" s="1" t="str">
        <f>VLOOKUP(C574,'Code ONU'!$C$1:$E$231,3,FALSE)</f>
        <v>Europe occidentale</v>
      </c>
      <c r="C574" s="1" t="s">
        <v>149</v>
      </c>
      <c r="D574" s="1">
        <v>2010</v>
      </c>
      <c r="E574" s="7">
        <v>1333</v>
      </c>
      <c r="F574" s="7"/>
      <c r="G574" s="4">
        <v>0</v>
      </c>
    </row>
    <row r="575" spans="1:7" x14ac:dyDescent="0.3">
      <c r="A575" s="1" t="s">
        <v>640</v>
      </c>
      <c r="B575" s="1" t="str">
        <f>VLOOKUP(C575,'Code ONU'!$C$1:$E$231,3,FALSE)</f>
        <v>Amériques</v>
      </c>
      <c r="C575" s="1" t="s">
        <v>454</v>
      </c>
      <c r="D575" s="1">
        <v>2010</v>
      </c>
      <c r="E575" s="7">
        <v>309527</v>
      </c>
      <c r="F575" s="7">
        <v>2046</v>
      </c>
      <c r="G575" s="4">
        <v>6.6100857114242051E-3</v>
      </c>
    </row>
    <row r="576" spans="1:7" x14ac:dyDescent="0.3">
      <c r="A576" s="1" t="s">
        <v>587</v>
      </c>
      <c r="B576" s="1" t="str">
        <f>VLOOKUP(C576,'Code ONU'!$C$1:$E$231,3,FALSE)</f>
        <v>Europe centrale et orientale</v>
      </c>
      <c r="C576" s="1" t="s">
        <v>356</v>
      </c>
      <c r="D576" s="1">
        <v>2010</v>
      </c>
      <c r="E576" s="7">
        <v>143924</v>
      </c>
      <c r="F576" s="7"/>
      <c r="G576" s="4">
        <v>0</v>
      </c>
    </row>
    <row r="577" spans="1:7" x14ac:dyDescent="0.3">
      <c r="A577" s="1" t="s">
        <v>528</v>
      </c>
      <c r="B577" s="1" t="str">
        <f>VLOOKUP(C577,'Code ONU'!$C$1:$E$231,3,FALSE)</f>
        <v>Europe occidentale</v>
      </c>
      <c r="C577" s="1" t="s">
        <v>161</v>
      </c>
      <c r="D577" s="1">
        <v>2010</v>
      </c>
      <c r="E577" s="7">
        <v>5351</v>
      </c>
      <c r="F577" s="7"/>
      <c r="G577" s="4">
        <v>0</v>
      </c>
    </row>
    <row r="578" spans="1:7" x14ac:dyDescent="0.3">
      <c r="A578" s="1" t="s">
        <v>162</v>
      </c>
      <c r="B578" s="1" t="str">
        <f>VLOOKUP(C578,'Code ONU'!$C$1:$E$231,3,FALSE)</f>
        <v>Europe occidentale</v>
      </c>
      <c r="C578" s="1" t="s">
        <v>163</v>
      </c>
      <c r="D578" s="1">
        <v>2010</v>
      </c>
      <c r="E578" s="7">
        <v>63262</v>
      </c>
      <c r="F578" s="7">
        <v>63054</v>
      </c>
      <c r="G578" s="4">
        <v>0.99671208624450702</v>
      </c>
    </row>
    <row r="579" spans="1:7" x14ac:dyDescent="0.3">
      <c r="A579" s="1" t="s">
        <v>168</v>
      </c>
      <c r="B579" s="1" t="str">
        <f>VLOOKUP(C579,'Code ONU'!$C$1:$E$231,3,FALSE)</f>
        <v>Afrique centrale</v>
      </c>
      <c r="C579" s="1" t="s">
        <v>169</v>
      </c>
      <c r="D579" s="1">
        <v>2010</v>
      </c>
      <c r="E579" s="7">
        <v>1690</v>
      </c>
      <c r="F579" s="7">
        <v>933</v>
      </c>
      <c r="G579" s="4">
        <v>0.55207100591715974</v>
      </c>
    </row>
    <row r="580" spans="1:7" x14ac:dyDescent="0.3">
      <c r="A580" s="1" t="s">
        <v>531</v>
      </c>
      <c r="B580" s="1" t="str">
        <f>VLOOKUP(C580,'Code ONU'!$C$1:$E$231,3,FALSE)</f>
        <v>Afrique de l'Ouest</v>
      </c>
      <c r="C580" s="1" t="s">
        <v>171</v>
      </c>
      <c r="D580" s="1">
        <v>2010</v>
      </c>
      <c r="E580" s="7">
        <v>1899</v>
      </c>
      <c r="F580" s="7"/>
      <c r="G580" s="4">
        <v>0</v>
      </c>
    </row>
    <row r="581" spans="1:7" x14ac:dyDescent="0.3">
      <c r="A581" s="1" t="s">
        <v>532</v>
      </c>
      <c r="B581" s="1" t="str">
        <f>VLOOKUP(C581,'Code ONU'!$C$1:$E$231,3,FALSE)</f>
        <v>Moyen-Orient</v>
      </c>
      <c r="C581" s="1" t="s">
        <v>173</v>
      </c>
      <c r="D581" s="1">
        <v>2010</v>
      </c>
      <c r="E581" s="7">
        <v>3909</v>
      </c>
      <c r="F581" s="7"/>
      <c r="G581" s="4">
        <v>0</v>
      </c>
    </row>
    <row r="582" spans="1:7" x14ac:dyDescent="0.3">
      <c r="A582" s="1" t="s">
        <v>176</v>
      </c>
      <c r="B582" s="1" t="str">
        <f>VLOOKUP(C582,'Code ONU'!$C$1:$E$231,3,FALSE)</f>
        <v>Afrique de l'Ouest</v>
      </c>
      <c r="C582" s="1" t="s">
        <v>177</v>
      </c>
      <c r="D582" s="1">
        <v>2010</v>
      </c>
      <c r="E582" s="7">
        <v>25170</v>
      </c>
      <c r="F582" s="7">
        <v>204.28007374740588</v>
      </c>
      <c r="G582" s="4">
        <v>8.1160140543268134E-3</v>
      </c>
    </row>
    <row r="583" spans="1:7" x14ac:dyDescent="0.3">
      <c r="A583" s="1" t="s">
        <v>534</v>
      </c>
      <c r="B583" s="1" t="str">
        <f>VLOOKUP(C583,'Code ONU'!$C$1:$E$231,3,FALSE)</f>
        <v>Europe occidentale</v>
      </c>
      <c r="C583" s="1" t="s">
        <v>181</v>
      </c>
      <c r="D583" s="1">
        <v>2010</v>
      </c>
      <c r="E583" s="7">
        <v>11121</v>
      </c>
      <c r="F583" s="7">
        <v>886</v>
      </c>
      <c r="G583" s="4">
        <v>7.9669094505889756E-2</v>
      </c>
    </row>
    <row r="584" spans="1:7" x14ac:dyDescent="0.3">
      <c r="A584" s="1" t="s">
        <v>186</v>
      </c>
      <c r="B584" s="1" t="str">
        <f>VLOOKUP(C584,'Code ONU'!$C$1:$E$231,3,FALSE)</f>
        <v>Caraïbes</v>
      </c>
      <c r="C584" s="1" t="s">
        <v>187</v>
      </c>
      <c r="D584" s="1">
        <v>2010</v>
      </c>
      <c r="E584" s="7">
        <v>409</v>
      </c>
      <c r="F584" s="7">
        <v>389</v>
      </c>
      <c r="G584" s="4">
        <v>0.9511002444987775</v>
      </c>
    </row>
    <row r="585" spans="1:7" x14ac:dyDescent="0.3">
      <c r="A585" s="1" t="s">
        <v>537</v>
      </c>
      <c r="B585" s="1" t="str">
        <f>VLOOKUP(C585,'Code ONU'!$C$1:$E$231,3,FALSE)</f>
        <v>Afrique de l'Ouest</v>
      </c>
      <c r="C585" s="1" t="s">
        <v>193</v>
      </c>
      <c r="D585" s="1">
        <v>2010</v>
      </c>
      <c r="E585" s="7">
        <v>10267</v>
      </c>
      <c r="F585" s="7">
        <v>2211</v>
      </c>
      <c r="G585" s="4">
        <v>0.21535015096912438</v>
      </c>
    </row>
    <row r="586" spans="1:7" x14ac:dyDescent="0.3">
      <c r="A586" s="1" t="s">
        <v>521</v>
      </c>
      <c r="B586" s="1" t="str">
        <f>VLOOKUP(C586,'Code ONU'!$C$1:$E$231,3,FALSE)</f>
        <v>Afrique centrale</v>
      </c>
      <c r="C586" s="1" t="s">
        <v>145</v>
      </c>
      <c r="D586" s="1">
        <v>2010</v>
      </c>
      <c r="E586" s="7">
        <v>1162</v>
      </c>
      <c r="F586" s="7">
        <v>335</v>
      </c>
      <c r="G586" s="4">
        <v>0.2882960413080895</v>
      </c>
    </row>
    <row r="587" spans="1:7" x14ac:dyDescent="0.3">
      <c r="A587" s="1" t="s">
        <v>538</v>
      </c>
      <c r="B587" s="1" t="str">
        <f>VLOOKUP(C587,'Code ONU'!$C$1:$E$231,3,FALSE)</f>
        <v>Afrique de l'Ouest</v>
      </c>
      <c r="C587" s="1" t="s">
        <v>195</v>
      </c>
      <c r="D587" s="1">
        <v>2010</v>
      </c>
      <c r="E587" s="7">
        <v>1546</v>
      </c>
      <c r="F587" s="7">
        <v>232</v>
      </c>
      <c r="G587" s="4">
        <v>0.1500646830530401</v>
      </c>
    </row>
    <row r="588" spans="1:7" x14ac:dyDescent="0.3">
      <c r="A588" s="1" t="s">
        <v>529</v>
      </c>
      <c r="B588" s="1" t="str">
        <f>VLOOKUP(C588,'Code ONU'!$C$1:$E$231,3,FALSE)</f>
        <v>Amériques</v>
      </c>
      <c r="C588" s="1" t="s">
        <v>165</v>
      </c>
      <c r="D588" s="1">
        <v>2010</v>
      </c>
      <c r="E588" s="7">
        <v>232</v>
      </c>
      <c r="F588" s="7"/>
      <c r="G588" s="4">
        <v>0</v>
      </c>
    </row>
    <row r="589" spans="1:7" x14ac:dyDescent="0.3">
      <c r="A589" s="1" t="s">
        <v>539</v>
      </c>
      <c r="B589" s="1" t="str">
        <f>VLOOKUP(C589,'Code ONU'!$C$1:$E$231,3,FALSE)</f>
        <v>Caraïbes</v>
      </c>
      <c r="C589" s="1" t="s">
        <v>199</v>
      </c>
      <c r="D589" s="1">
        <v>2010</v>
      </c>
      <c r="E589" s="7">
        <v>9770</v>
      </c>
      <c r="F589" s="7">
        <v>4103</v>
      </c>
      <c r="G589" s="4">
        <v>0.41995905834186287</v>
      </c>
    </row>
    <row r="590" spans="1:7" x14ac:dyDescent="0.3">
      <c r="A590" s="1" t="s">
        <v>540</v>
      </c>
      <c r="B590" s="1" t="str">
        <f>VLOOKUP(C590,'Code ONU'!$C$1:$E$231,3,FALSE)</f>
        <v>Europe centrale et orientale</v>
      </c>
      <c r="C590" s="1" t="s">
        <v>203</v>
      </c>
      <c r="D590" s="1">
        <v>2010</v>
      </c>
      <c r="E590" s="7">
        <v>9993</v>
      </c>
      <c r="F590" s="7">
        <v>87</v>
      </c>
      <c r="G590" s="4">
        <v>8.7060942659861907E-3</v>
      </c>
    </row>
    <row r="591" spans="1:7" x14ac:dyDescent="0.3">
      <c r="A591" s="1" t="s">
        <v>629</v>
      </c>
      <c r="B591" s="1" t="str">
        <f>VLOOKUP(C591,'Code ONU'!$C$1:$E$231,3,FALSE)</f>
        <v>Océanie</v>
      </c>
      <c r="C591" s="1" t="s">
        <v>468</v>
      </c>
      <c r="D591" s="1">
        <v>2010</v>
      </c>
      <c r="E591" s="7">
        <v>13</v>
      </c>
      <c r="F591" s="7">
        <v>6</v>
      </c>
      <c r="G591" s="4">
        <v>0.46153846153846156</v>
      </c>
    </row>
    <row r="592" spans="1:7" x14ac:dyDescent="0.3">
      <c r="A592" s="1" t="s">
        <v>545</v>
      </c>
      <c r="B592" s="1" t="str">
        <f>VLOOKUP(C592,'Code ONU'!$C$1:$E$231,3,FALSE)</f>
        <v>Europe occidentale</v>
      </c>
      <c r="C592" s="1" t="s">
        <v>215</v>
      </c>
      <c r="D592" s="1">
        <v>2010</v>
      </c>
      <c r="E592" s="7">
        <v>4549</v>
      </c>
      <c r="F592" s="7"/>
      <c r="G592" s="4">
        <v>0</v>
      </c>
    </row>
    <row r="593" spans="1:7" x14ac:dyDescent="0.3">
      <c r="A593" s="1" t="s">
        <v>547</v>
      </c>
      <c r="B593" s="1" t="str">
        <f>VLOOKUP(C593,'Code ONU'!$C$1:$E$231,3,FALSE)</f>
        <v>Moyen-Orient</v>
      </c>
      <c r="C593" s="1" t="s">
        <v>219</v>
      </c>
      <c r="D593" s="1">
        <v>2010</v>
      </c>
      <c r="E593" s="7">
        <v>7269</v>
      </c>
      <c r="F593" s="7"/>
      <c r="G593" s="4">
        <v>0</v>
      </c>
    </row>
    <row r="594" spans="1:7" x14ac:dyDescent="0.3">
      <c r="A594" s="1" t="s">
        <v>548</v>
      </c>
      <c r="B594" s="1" t="str">
        <f>VLOOKUP(C594,'Code ONU'!$C$1:$E$231,3,FALSE)</f>
        <v>Europe occidentale</v>
      </c>
      <c r="C594" s="1" t="s">
        <v>221</v>
      </c>
      <c r="D594" s="1">
        <v>2010</v>
      </c>
      <c r="E594" s="7">
        <v>60037</v>
      </c>
      <c r="F594" s="7"/>
      <c r="G594" s="4">
        <v>0</v>
      </c>
    </row>
    <row r="595" spans="1:7" x14ac:dyDescent="0.3">
      <c r="A595" s="1" t="s">
        <v>554</v>
      </c>
      <c r="B595" s="1" t="str">
        <f>VLOOKUP(C595,'Code ONU'!$C$1:$E$231,3,FALSE)</f>
        <v>Asie</v>
      </c>
      <c r="C595" s="1" t="s">
        <v>241</v>
      </c>
      <c r="D595" s="1">
        <v>2010</v>
      </c>
      <c r="E595" s="7">
        <v>6288</v>
      </c>
      <c r="F595" s="7">
        <v>170</v>
      </c>
      <c r="G595" s="4">
        <v>2.703562340966921E-2</v>
      </c>
    </row>
    <row r="596" spans="1:7" x14ac:dyDescent="0.3">
      <c r="A596" s="1" t="s">
        <v>555</v>
      </c>
      <c r="B596" s="1" t="str">
        <f>VLOOKUP(C596,'Code ONU'!$C$1:$E$231,3,FALSE)</f>
        <v>Europe occidentale</v>
      </c>
      <c r="C596" s="1" t="s">
        <v>243</v>
      </c>
      <c r="D596" s="1">
        <v>2010</v>
      </c>
      <c r="E596" s="7">
        <v>2121</v>
      </c>
      <c r="F596" s="7">
        <v>20</v>
      </c>
      <c r="G596" s="4">
        <v>9.4295143800094301E-3</v>
      </c>
    </row>
    <row r="597" spans="1:7" x14ac:dyDescent="0.3">
      <c r="A597" s="1" t="s">
        <v>556</v>
      </c>
      <c r="B597" s="1" t="str">
        <f>VLOOKUP(C597,'Code ONU'!$C$1:$E$231,3,FALSE)</f>
        <v>Moyen-Orient</v>
      </c>
      <c r="C597" s="1" t="s">
        <v>245</v>
      </c>
      <c r="D597" s="1">
        <v>2010</v>
      </c>
      <c r="E597" s="7">
        <v>5025</v>
      </c>
      <c r="F597" s="7">
        <v>1910</v>
      </c>
      <c r="G597" s="4">
        <v>0.38009950248756219</v>
      </c>
    </row>
    <row r="598" spans="1:7" x14ac:dyDescent="0.3">
      <c r="A598" s="1" t="s">
        <v>559</v>
      </c>
      <c r="B598" s="1" t="str">
        <f>VLOOKUP(C598,'Code ONU'!$C$1:$E$231,3,FALSE)</f>
        <v>Europe occidentale</v>
      </c>
      <c r="C598" s="1" t="s">
        <v>255</v>
      </c>
      <c r="D598" s="1">
        <v>2010</v>
      </c>
      <c r="E598" s="7">
        <v>3142</v>
      </c>
      <c r="F598" s="7">
        <v>124</v>
      </c>
      <c r="G598" s="4">
        <v>3.9465308720560151E-2</v>
      </c>
    </row>
    <row r="599" spans="1:7" x14ac:dyDescent="0.3">
      <c r="A599" s="1" t="s">
        <v>256</v>
      </c>
      <c r="B599" s="1" t="str">
        <f>VLOOKUP(C599,'Code ONU'!$C$1:$E$231,3,FALSE)</f>
        <v>Europe occidentale</v>
      </c>
      <c r="C599" s="1" t="s">
        <v>257</v>
      </c>
      <c r="D599" s="1">
        <v>2010</v>
      </c>
      <c r="E599" s="7">
        <v>503</v>
      </c>
      <c r="F599" s="7">
        <v>449</v>
      </c>
      <c r="G599" s="4">
        <v>0.89264413518886676</v>
      </c>
    </row>
    <row r="600" spans="1:7" x14ac:dyDescent="0.3">
      <c r="A600" s="1" t="s">
        <v>577</v>
      </c>
      <c r="B600" s="1" t="str">
        <f>VLOOKUP(C600,'Code ONU'!$C$1:$E$231,3,FALSE)</f>
        <v>Europe centrale et orientale</v>
      </c>
      <c r="C600" s="1" t="s">
        <v>319</v>
      </c>
      <c r="D600" s="1">
        <v>2010</v>
      </c>
      <c r="E600" s="7">
        <v>2056</v>
      </c>
      <c r="F600" s="7">
        <v>42</v>
      </c>
      <c r="G600" s="4">
        <v>2.0428015564202335E-2</v>
      </c>
    </row>
    <row r="601" spans="1:7" x14ac:dyDescent="0.3">
      <c r="A601" s="1" t="s">
        <v>258</v>
      </c>
      <c r="B601" s="1" t="str">
        <f>VLOOKUP(C601,'Code ONU'!$C$1:$E$231,3,FALSE)</f>
        <v>Afrique australe et Océan Indien</v>
      </c>
      <c r="C601" s="1" t="s">
        <v>259</v>
      </c>
      <c r="D601" s="1">
        <v>2010</v>
      </c>
      <c r="E601" s="7">
        <v>21864</v>
      </c>
      <c r="F601" s="7">
        <v>4373</v>
      </c>
      <c r="G601" s="4">
        <v>0.20000914745700696</v>
      </c>
    </row>
    <row r="602" spans="1:7" x14ac:dyDescent="0.3">
      <c r="A602" s="1" t="s">
        <v>266</v>
      </c>
      <c r="B602" s="1" t="str">
        <f>VLOOKUP(C602,'Code ONU'!$C$1:$E$231,3,FALSE)</f>
        <v>Afrique de l'Ouest</v>
      </c>
      <c r="C602" s="1" t="s">
        <v>267</v>
      </c>
      <c r="D602" s="1">
        <v>2010</v>
      </c>
      <c r="E602" s="7">
        <v>15685</v>
      </c>
      <c r="F602" s="7">
        <v>2845</v>
      </c>
      <c r="G602" s="4">
        <v>0.18138348740835192</v>
      </c>
    </row>
    <row r="603" spans="1:7" x14ac:dyDescent="0.3">
      <c r="A603" s="1" t="s">
        <v>561</v>
      </c>
      <c r="B603" s="1" t="str">
        <f>VLOOKUP(C603,'Code ONU'!$C$1:$E$231,3,FALSE)</f>
        <v>Europe occidentale</v>
      </c>
      <c r="C603" s="1" t="s">
        <v>269</v>
      </c>
      <c r="D603" s="1">
        <v>2010</v>
      </c>
      <c r="E603" s="7">
        <v>422</v>
      </c>
      <c r="F603" s="7"/>
      <c r="G603" s="4">
        <v>0</v>
      </c>
    </row>
    <row r="604" spans="1:7" x14ac:dyDescent="0.3">
      <c r="A604" s="1" t="s">
        <v>569</v>
      </c>
      <c r="B604" s="1" t="str">
        <f>VLOOKUP(C604,'Code ONU'!$C$1:$E$231,3,FALSE)</f>
        <v>Afrique du Nord</v>
      </c>
      <c r="C604" s="1" t="s">
        <v>293</v>
      </c>
      <c r="D604" s="1">
        <v>2010</v>
      </c>
      <c r="E604" s="7">
        <v>32244</v>
      </c>
      <c r="F604" s="7">
        <v>10323</v>
      </c>
      <c r="G604" s="4">
        <v>0.3201525865277261</v>
      </c>
    </row>
    <row r="605" spans="1:7" x14ac:dyDescent="0.3">
      <c r="A605" s="1" t="s">
        <v>272</v>
      </c>
      <c r="B605" s="1" t="str">
        <f>VLOOKUP(C605,'Code ONU'!$C$1:$E$231,3,FALSE)</f>
        <v>Caraïbes</v>
      </c>
      <c r="C605" s="1" t="s">
        <v>273</v>
      </c>
      <c r="D605" s="1">
        <v>2010</v>
      </c>
      <c r="E605" s="7">
        <v>399</v>
      </c>
      <c r="F605" s="7">
        <v>381</v>
      </c>
      <c r="G605" s="4">
        <v>0.95488721804511278</v>
      </c>
    </row>
    <row r="606" spans="1:7" x14ac:dyDescent="0.3">
      <c r="A606" s="1" t="s">
        <v>272</v>
      </c>
      <c r="B606" s="1" t="str">
        <f>VLOOKUP(C606,'Code ONU'!$C$1:$E$231,3,FALSE)</f>
        <v>Caraïbes</v>
      </c>
      <c r="C606" s="1" t="s">
        <v>273</v>
      </c>
      <c r="D606" s="1">
        <v>2010</v>
      </c>
      <c r="E606" s="7">
        <v>37</v>
      </c>
      <c r="F606" s="7"/>
      <c r="G606" s="4">
        <v>0</v>
      </c>
    </row>
    <row r="607" spans="1:7" x14ac:dyDescent="0.3">
      <c r="A607" s="1" t="s">
        <v>564</v>
      </c>
      <c r="B607" s="1" t="str">
        <f>VLOOKUP(C607,'Code ONU'!$C$1:$E$231,3,FALSE)</f>
        <v>Afrique australe et Océan Indien</v>
      </c>
      <c r="C607" s="1" t="s">
        <v>277</v>
      </c>
      <c r="D607" s="1">
        <v>2010</v>
      </c>
      <c r="E607" s="7">
        <v>1281</v>
      </c>
      <c r="F607" s="7">
        <v>931</v>
      </c>
      <c r="G607" s="4">
        <v>0.72677595628415304</v>
      </c>
    </row>
    <row r="608" spans="1:7" x14ac:dyDescent="0.3">
      <c r="A608" s="1" t="s">
        <v>563</v>
      </c>
      <c r="B608" s="1" t="str">
        <f>VLOOKUP(C608,'Code ONU'!$C$1:$E$231,3,FALSE)</f>
        <v>Afrique du Nord</v>
      </c>
      <c r="C608" s="1" t="s">
        <v>275</v>
      </c>
      <c r="D608" s="1">
        <v>2010</v>
      </c>
      <c r="E608" s="7">
        <v>3336</v>
      </c>
      <c r="F608" s="7">
        <v>425</v>
      </c>
      <c r="G608" s="4">
        <v>0.1273980815347722</v>
      </c>
    </row>
    <row r="609" spans="1:7" x14ac:dyDescent="0.3">
      <c r="A609" s="1" t="s">
        <v>278</v>
      </c>
      <c r="B609" s="1" t="str">
        <f>VLOOKUP(C609,'Code ONU'!$C$1:$E$231,3,FALSE)</f>
        <v>Afrique australe et Océan Indien</v>
      </c>
      <c r="C609" s="1" t="s">
        <v>279</v>
      </c>
      <c r="D609" s="1">
        <v>2010</v>
      </c>
      <c r="E609" s="7">
        <v>205</v>
      </c>
      <c r="F609" s="7">
        <v>205</v>
      </c>
      <c r="G609" s="4">
        <v>1</v>
      </c>
    </row>
    <row r="610" spans="1:7" x14ac:dyDescent="0.3">
      <c r="A610" s="1" t="s">
        <v>565</v>
      </c>
      <c r="B610" s="1" t="str">
        <f>VLOOKUP(C610,'Code ONU'!$C$1:$E$231,3,FALSE)</f>
        <v>Amériques</v>
      </c>
      <c r="C610" s="1" t="s">
        <v>281</v>
      </c>
      <c r="D610" s="1">
        <v>2010</v>
      </c>
      <c r="E610" s="7">
        <v>112815</v>
      </c>
      <c r="F610" s="7"/>
      <c r="G610" s="4">
        <v>0</v>
      </c>
    </row>
    <row r="611" spans="1:7" x14ac:dyDescent="0.3">
      <c r="A611" s="1" t="s">
        <v>585</v>
      </c>
      <c r="B611" s="1" t="str">
        <f>VLOOKUP(C611,'Code ONU'!$C$1:$E$231,3,FALSE)</f>
        <v>Europe centrale et orientale</v>
      </c>
      <c r="C611" s="1" t="s">
        <v>350</v>
      </c>
      <c r="D611" s="1">
        <v>2010</v>
      </c>
      <c r="E611" s="7">
        <v>3669</v>
      </c>
      <c r="F611" s="7">
        <v>92</v>
      </c>
      <c r="G611" s="4">
        <v>2.5074952303079857E-2</v>
      </c>
    </row>
    <row r="612" spans="1:7" x14ac:dyDescent="0.3">
      <c r="A612" s="1" t="s">
        <v>284</v>
      </c>
      <c r="B612" s="1" t="str">
        <f>VLOOKUP(C612,'Code ONU'!$C$1:$E$231,3,FALSE)</f>
        <v>Europe occidentale</v>
      </c>
      <c r="C612" s="1" t="s">
        <v>285</v>
      </c>
      <c r="D612" s="1">
        <v>2010</v>
      </c>
      <c r="E612" s="7">
        <v>33</v>
      </c>
      <c r="F612" s="7">
        <v>26</v>
      </c>
      <c r="G612" s="4">
        <v>0.78787878787878785</v>
      </c>
    </row>
    <row r="613" spans="1:7" x14ac:dyDescent="0.3">
      <c r="A613" s="1" t="s">
        <v>568</v>
      </c>
      <c r="B613" s="1" t="str">
        <f>VLOOKUP(C613,'Code ONU'!$C$1:$E$231,3,FALSE)</f>
        <v>Europe centrale et orientale</v>
      </c>
      <c r="C613" s="1" t="s">
        <v>289</v>
      </c>
      <c r="D613" s="1">
        <v>2010</v>
      </c>
      <c r="E613" s="7">
        <v>632</v>
      </c>
      <c r="F613" s="7"/>
      <c r="G613" s="4">
        <v>0</v>
      </c>
    </row>
    <row r="614" spans="1:7" x14ac:dyDescent="0.3">
      <c r="A614" s="1" t="s">
        <v>294</v>
      </c>
      <c r="B614" s="1" t="str">
        <f>VLOOKUP(C614,'Code ONU'!$C$1:$E$231,3,FALSE)</f>
        <v>Afrique de l'Est</v>
      </c>
      <c r="C614" s="1" t="s">
        <v>295</v>
      </c>
      <c r="D614" s="1">
        <v>2010</v>
      </c>
      <c r="E614" s="7">
        <v>22688</v>
      </c>
      <c r="F614" s="7">
        <v>68</v>
      </c>
      <c r="G614" s="4">
        <v>2.9971791255289141E-3</v>
      </c>
    </row>
    <row r="615" spans="1:7" x14ac:dyDescent="0.3">
      <c r="A615" s="1" t="s">
        <v>312</v>
      </c>
      <c r="B615" s="1" t="str">
        <f>VLOOKUP(C615,'Code ONU'!$C$1:$E$231,3,FALSE)</f>
        <v>Afrique de l'Ouest</v>
      </c>
      <c r="C615" s="1" t="s">
        <v>313</v>
      </c>
      <c r="D615" s="1">
        <v>2010</v>
      </c>
      <c r="E615" s="7">
        <v>16241</v>
      </c>
      <c r="F615" s="7">
        <v>2013</v>
      </c>
      <c r="G615" s="4">
        <v>0.12394556985407303</v>
      </c>
    </row>
    <row r="616" spans="1:7" x14ac:dyDescent="0.3">
      <c r="A616" s="1" t="s">
        <v>579</v>
      </c>
      <c r="B616" s="1" t="str">
        <f>VLOOKUP(C616,'Code ONU'!$C$1:$E$231,3,FALSE)</f>
        <v>Europe occidentale</v>
      </c>
      <c r="C616" s="1" t="s">
        <v>323</v>
      </c>
      <c r="D616" s="1">
        <v>2010</v>
      </c>
      <c r="E616" s="7">
        <v>4858</v>
      </c>
      <c r="F616" s="7"/>
      <c r="G616" s="4">
        <v>0</v>
      </c>
    </row>
    <row r="617" spans="1:7" x14ac:dyDescent="0.3">
      <c r="A617" s="1" t="s">
        <v>573</v>
      </c>
      <c r="B617" s="1" t="str">
        <f>VLOOKUP(C617,'Code ONU'!$C$1:$E$231,3,FALSE)</f>
        <v>Océanie</v>
      </c>
      <c r="C617" s="1" t="s">
        <v>307</v>
      </c>
      <c r="D617" s="1">
        <v>2010</v>
      </c>
      <c r="E617" s="7">
        <v>259</v>
      </c>
      <c r="F617" s="7">
        <v>233</v>
      </c>
      <c r="G617" s="4">
        <v>0.89961389961389959</v>
      </c>
    </row>
    <row r="618" spans="1:7" x14ac:dyDescent="0.3">
      <c r="A618" s="1" t="s">
        <v>334</v>
      </c>
      <c r="B618" s="1" t="str">
        <f>VLOOKUP(C618,'Code ONU'!$C$1:$E$231,3,FALSE)</f>
        <v>Amériques</v>
      </c>
      <c r="C618" s="1" t="s">
        <v>335</v>
      </c>
      <c r="D618" s="1">
        <v>2010</v>
      </c>
      <c r="E618" s="7">
        <v>5701</v>
      </c>
      <c r="F618" s="7"/>
      <c r="G618" s="4">
        <v>0</v>
      </c>
    </row>
    <row r="619" spans="1:7" x14ac:dyDescent="0.3">
      <c r="A619" s="1" t="s">
        <v>572</v>
      </c>
      <c r="B619" s="1" t="str">
        <f>VLOOKUP(C619,'Code ONU'!$C$1:$E$231,3,FALSE)</f>
        <v>Europe occidentale</v>
      </c>
      <c r="C619" s="1" t="s">
        <v>305</v>
      </c>
      <c r="D619" s="1">
        <v>2010</v>
      </c>
      <c r="E619" s="7">
        <v>16730</v>
      </c>
      <c r="F619" s="7"/>
      <c r="G619" s="4">
        <v>0</v>
      </c>
    </row>
    <row r="620" spans="1:7" x14ac:dyDescent="0.3">
      <c r="A620" s="1" t="s">
        <v>583</v>
      </c>
      <c r="B620" s="1" t="str">
        <f>VLOOKUP(C620,'Code ONU'!$C$1:$E$231,3,FALSE)</f>
        <v>Europe centrale et orientale</v>
      </c>
      <c r="C620" s="1" t="s">
        <v>341</v>
      </c>
      <c r="D620" s="1">
        <v>2010</v>
      </c>
      <c r="E620" s="7">
        <v>38014</v>
      </c>
      <c r="F620" s="7">
        <v>1070</v>
      </c>
      <c r="G620" s="4">
        <v>2.8147524596201401E-2</v>
      </c>
    </row>
    <row r="621" spans="1:7" x14ac:dyDescent="0.3">
      <c r="A621" s="1" t="s">
        <v>530</v>
      </c>
      <c r="B621" s="1" t="str">
        <f>VLOOKUP(C621,'Code ONU'!$C$1:$E$231,3,FALSE)</f>
        <v>Océanie</v>
      </c>
      <c r="C621" s="1" t="s">
        <v>167</v>
      </c>
      <c r="D621" s="1">
        <v>2010</v>
      </c>
      <c r="E621" s="7">
        <v>270</v>
      </c>
      <c r="F621" s="7">
        <v>243</v>
      </c>
      <c r="G621" s="4">
        <v>0.9</v>
      </c>
    </row>
    <row r="622" spans="1:7" x14ac:dyDescent="0.3">
      <c r="A622" s="1" t="s">
        <v>342</v>
      </c>
      <c r="B622" s="1" t="str">
        <f>VLOOKUP(C622,'Code ONU'!$C$1:$E$231,3,FALSE)</f>
        <v>Europe occidentale</v>
      </c>
      <c r="C622" s="1" t="s">
        <v>343</v>
      </c>
      <c r="D622" s="1">
        <v>2010</v>
      </c>
      <c r="E622" s="7">
        <v>10583</v>
      </c>
      <c r="F622" s="7"/>
      <c r="G622" s="4">
        <v>0</v>
      </c>
    </row>
    <row r="623" spans="1:7" x14ac:dyDescent="0.3">
      <c r="A623" s="1" t="s">
        <v>346</v>
      </c>
      <c r="B623" s="1" t="str">
        <f>VLOOKUP(C623,'Code ONU'!$C$1:$E$231,3,FALSE)</f>
        <v>Moyen-Orient</v>
      </c>
      <c r="C623" s="1" t="s">
        <v>347</v>
      </c>
      <c r="D623" s="1">
        <v>2010</v>
      </c>
      <c r="E623" s="7">
        <v>1655</v>
      </c>
      <c r="F623" s="7"/>
      <c r="G623" s="4">
        <v>0</v>
      </c>
    </row>
    <row r="624" spans="1:7" x14ac:dyDescent="0.3">
      <c r="A624" s="1" t="s">
        <v>518</v>
      </c>
      <c r="B624" s="1" t="str">
        <f>VLOOKUP(C624,'Code ONU'!$C$1:$E$231,3,FALSE)</f>
        <v>Caraïbes</v>
      </c>
      <c r="C624" s="1" t="s">
        <v>137</v>
      </c>
      <c r="D624" s="1">
        <v>2010</v>
      </c>
      <c r="E624" s="7">
        <v>9757</v>
      </c>
      <c r="F624" s="7"/>
      <c r="G624" s="4">
        <v>0</v>
      </c>
    </row>
    <row r="625" spans="1:7" x14ac:dyDescent="0.3">
      <c r="A625" s="1" t="s">
        <v>641</v>
      </c>
      <c r="B625" s="1" t="str">
        <f>VLOOKUP(C625,'Code ONU'!$C$1:$E$231,3,FALSE)</f>
        <v>Europe centrale et orientale</v>
      </c>
      <c r="C625" s="1" t="s">
        <v>125</v>
      </c>
      <c r="D625" s="1">
        <v>2010</v>
      </c>
      <c r="E625" s="7">
        <v>10442</v>
      </c>
      <c r="F625" s="7">
        <v>247</v>
      </c>
      <c r="G625" s="4">
        <v>2.3654472323309712E-2</v>
      </c>
    </row>
    <row r="626" spans="1:7" x14ac:dyDescent="0.3">
      <c r="A626" s="1" t="s">
        <v>351</v>
      </c>
      <c r="B626" s="1" t="str">
        <f>VLOOKUP(C626,'Code ONU'!$C$1:$E$231,3,FALSE)</f>
        <v>Afrique australe et Océan Indien</v>
      </c>
      <c r="C626" s="1" t="s">
        <v>352</v>
      </c>
      <c r="D626" s="1">
        <v>2010</v>
      </c>
      <c r="E626" s="7">
        <v>842</v>
      </c>
      <c r="F626" s="7">
        <v>795</v>
      </c>
      <c r="G626" s="4">
        <v>0.9441805225653207</v>
      </c>
    </row>
    <row r="627" spans="1:7" x14ac:dyDescent="0.3">
      <c r="A627" s="1" t="s">
        <v>586</v>
      </c>
      <c r="B627" s="1" t="str">
        <f>VLOOKUP(C627,'Code ONU'!$C$1:$E$231,3,FALSE)</f>
        <v>Europe centrale et orientale</v>
      </c>
      <c r="C627" s="1" t="s">
        <v>354</v>
      </c>
      <c r="D627" s="1">
        <v>2010</v>
      </c>
      <c r="E627" s="7">
        <v>20507</v>
      </c>
      <c r="F627" s="7">
        <v>1803</v>
      </c>
      <c r="G627" s="4">
        <v>8.7921197639830306E-2</v>
      </c>
    </row>
    <row r="628" spans="1:7" x14ac:dyDescent="0.3">
      <c r="A628" s="1" t="s">
        <v>623</v>
      </c>
      <c r="B628" s="1" t="str">
        <f>VLOOKUP(C628,'Code ONU'!$C$1:$E$231,3,FALSE)</f>
        <v>Europe occidentale</v>
      </c>
      <c r="C628" s="1" t="s">
        <v>450</v>
      </c>
      <c r="D628" s="1">
        <v>2010</v>
      </c>
      <c r="E628" s="7">
        <v>62747</v>
      </c>
      <c r="F628" s="7"/>
      <c r="G628" s="4">
        <v>0</v>
      </c>
    </row>
    <row r="629" spans="1:7" x14ac:dyDescent="0.3">
      <c r="A629" s="1" t="s">
        <v>357</v>
      </c>
      <c r="B629" s="1" t="str">
        <f>VLOOKUP(C629,'Code ONU'!$C$1:$E$231,3,FALSE)</f>
        <v>Afrique de l'Est</v>
      </c>
      <c r="C629" s="1" t="s">
        <v>358</v>
      </c>
      <c r="D629" s="1">
        <v>2010</v>
      </c>
      <c r="E629" s="7">
        <v>10189</v>
      </c>
      <c r="F629" s="7">
        <v>309</v>
      </c>
      <c r="G629" s="4">
        <v>3.0326823044459713E-2</v>
      </c>
    </row>
    <row r="630" spans="1:7" x14ac:dyDescent="0.3">
      <c r="A630" s="1" t="s">
        <v>588</v>
      </c>
      <c r="B630" s="1" t="str">
        <f>VLOOKUP(C630,'Code ONU'!$C$1:$E$231,3,FALSE)</f>
        <v>Caraïbes</v>
      </c>
      <c r="C630" s="1" t="s">
        <v>360</v>
      </c>
      <c r="D630" s="1">
        <v>2010</v>
      </c>
      <c r="E630" s="7">
        <v>9</v>
      </c>
      <c r="F630" s="7"/>
      <c r="G630" s="4">
        <v>0</v>
      </c>
    </row>
    <row r="631" spans="1:7" x14ac:dyDescent="0.3">
      <c r="A631" s="1" t="s">
        <v>591</v>
      </c>
      <c r="B631" s="1" t="str">
        <f>VLOOKUP(C631,'Code ONU'!$C$1:$E$231,3,FALSE)</f>
        <v>Caraïbes</v>
      </c>
      <c r="C631" s="1" t="s">
        <v>366</v>
      </c>
      <c r="D631" s="1">
        <v>2010</v>
      </c>
      <c r="E631" s="7">
        <v>170</v>
      </c>
      <c r="F631" s="7">
        <v>3</v>
      </c>
      <c r="G631" s="4">
        <v>1.7647058823529412E-2</v>
      </c>
    </row>
    <row r="632" spans="1:7" x14ac:dyDescent="0.3">
      <c r="A632" s="1" t="s">
        <v>593</v>
      </c>
      <c r="B632" s="1" t="str">
        <f>VLOOKUP(C632,'Code ONU'!$C$1:$E$231,3,FALSE)</f>
        <v>Amériques</v>
      </c>
      <c r="C632" s="1" t="s">
        <v>370</v>
      </c>
      <c r="D632" s="1">
        <v>2010</v>
      </c>
      <c r="E632" s="7">
        <v>6</v>
      </c>
      <c r="F632" s="7">
        <v>6</v>
      </c>
      <c r="G632" s="4">
        <v>1</v>
      </c>
    </row>
    <row r="633" spans="1:7" x14ac:dyDescent="0.3">
      <c r="A633" s="1" t="s">
        <v>595</v>
      </c>
      <c r="B633" s="1" t="str">
        <f>VLOOKUP(C633,'Code ONU'!$C$1:$E$231,3,FALSE)</f>
        <v>Afrique centrale</v>
      </c>
      <c r="C633" s="1" t="s">
        <v>376</v>
      </c>
      <c r="D633" s="1">
        <v>2010</v>
      </c>
      <c r="E633" s="7">
        <v>180</v>
      </c>
      <c r="F633" s="7">
        <v>36</v>
      </c>
      <c r="G633" s="4">
        <v>0.2</v>
      </c>
    </row>
    <row r="634" spans="1:7" x14ac:dyDescent="0.3">
      <c r="A634" s="1" t="s">
        <v>597</v>
      </c>
      <c r="B634" s="1" t="str">
        <f>VLOOKUP(C634,'Code ONU'!$C$1:$E$231,3,FALSE)</f>
        <v>Afrique de l'Ouest</v>
      </c>
      <c r="C634" s="1" t="s">
        <v>380</v>
      </c>
      <c r="D634" s="1">
        <v>2010</v>
      </c>
      <c r="E634" s="7">
        <v>12484</v>
      </c>
      <c r="F634" s="7">
        <v>3040</v>
      </c>
      <c r="G634" s="4">
        <v>0.24351169496956104</v>
      </c>
    </row>
    <row r="635" spans="1:7" x14ac:dyDescent="0.3">
      <c r="A635" s="1" t="s">
        <v>598</v>
      </c>
      <c r="B635" s="1" t="str">
        <f>VLOOKUP(C635,'Code ONU'!$C$1:$E$231,3,FALSE)</f>
        <v>Europe centrale et orientale</v>
      </c>
      <c r="C635" s="1" t="s">
        <v>382</v>
      </c>
      <c r="D635" s="1">
        <v>2010</v>
      </c>
      <c r="E635" s="7">
        <v>7411</v>
      </c>
      <c r="F635" s="7"/>
      <c r="G635" s="4">
        <v>0</v>
      </c>
    </row>
    <row r="636" spans="1:7" x14ac:dyDescent="0.3">
      <c r="A636" s="1" t="s">
        <v>383</v>
      </c>
      <c r="B636" s="1" t="str">
        <f>VLOOKUP(C636,'Code ONU'!$C$1:$E$231,3,FALSE)</f>
        <v>Afrique australe et Océan Indien</v>
      </c>
      <c r="C636" s="1" t="s">
        <v>384</v>
      </c>
      <c r="D636" s="1">
        <v>2010</v>
      </c>
      <c r="E636" s="7">
        <v>94</v>
      </c>
      <c r="F636" s="7">
        <v>94</v>
      </c>
      <c r="G636" s="4">
        <v>1</v>
      </c>
    </row>
    <row r="637" spans="1:7" x14ac:dyDescent="0.3">
      <c r="A637" s="1" t="s">
        <v>601</v>
      </c>
      <c r="B637" s="1" t="str">
        <f>VLOOKUP(C637,'Code ONU'!$C$1:$E$231,3,FALSE)</f>
        <v>Europe centrale et orientale</v>
      </c>
      <c r="C637" s="1" t="s">
        <v>392</v>
      </c>
      <c r="D637" s="1">
        <v>2010</v>
      </c>
      <c r="E637" s="7">
        <v>5389</v>
      </c>
      <c r="F637" s="7">
        <v>121</v>
      </c>
      <c r="G637" s="4">
        <v>2.2453145295973278E-2</v>
      </c>
    </row>
    <row r="638" spans="1:7" x14ac:dyDescent="0.3">
      <c r="A638" s="1" t="s">
        <v>602</v>
      </c>
      <c r="B638" s="1" t="str">
        <f>VLOOKUP(C638,'Code ONU'!$C$1:$E$231,3,FALSE)</f>
        <v>Europe centrale et orientale</v>
      </c>
      <c r="C638" s="1" t="s">
        <v>394</v>
      </c>
      <c r="D638" s="1">
        <v>2010</v>
      </c>
      <c r="E638" s="7">
        <v>2043</v>
      </c>
      <c r="F638" s="7">
        <v>74</v>
      </c>
      <c r="G638" s="4">
        <v>3.6221243269701421E-2</v>
      </c>
    </row>
    <row r="639" spans="1:7" x14ac:dyDescent="0.3">
      <c r="A639" s="1" t="s">
        <v>610</v>
      </c>
      <c r="B639" s="1" t="str">
        <f>VLOOKUP(C639,'Code ONU'!$C$1:$E$231,3,FALSE)</f>
        <v>Europe occidentale</v>
      </c>
      <c r="C639" s="1" t="s">
        <v>414</v>
      </c>
      <c r="D639" s="1">
        <v>2010</v>
      </c>
      <c r="E639" s="7">
        <v>9341</v>
      </c>
      <c r="F639" s="7"/>
      <c r="G639" s="4">
        <v>0</v>
      </c>
    </row>
    <row r="640" spans="1:7" x14ac:dyDescent="0.3">
      <c r="A640" s="1" t="s">
        <v>611</v>
      </c>
      <c r="B640" s="1" t="str">
        <f>VLOOKUP(C640,'Code ONU'!$C$1:$E$231,3,FALSE)</f>
        <v>Europe occidentale</v>
      </c>
      <c r="C640" s="1" t="s">
        <v>416</v>
      </c>
      <c r="D640" s="1">
        <v>2010</v>
      </c>
      <c r="E640" s="7">
        <v>7779</v>
      </c>
      <c r="F640" s="7">
        <v>5557</v>
      </c>
      <c r="G640" s="4">
        <v>0.71435917213009381</v>
      </c>
    </row>
    <row r="641" spans="1:7" x14ac:dyDescent="0.3">
      <c r="A641" s="1" t="s">
        <v>502</v>
      </c>
      <c r="B641" s="1" t="str">
        <f>VLOOKUP(C641,'Code ONU'!$C$1:$E$231,3,FALSE)</f>
        <v>Afrique centrale</v>
      </c>
      <c r="C641" s="1" t="s">
        <v>95</v>
      </c>
      <c r="D641" s="1">
        <v>2010</v>
      </c>
      <c r="E641" s="7">
        <v>12099</v>
      </c>
      <c r="F641" s="7">
        <v>1700</v>
      </c>
      <c r="G641" s="4">
        <v>0.14050747995702123</v>
      </c>
    </row>
    <row r="642" spans="1:7" x14ac:dyDescent="0.3">
      <c r="A642" s="1" t="s">
        <v>614</v>
      </c>
      <c r="B642" s="1" t="str">
        <f>VLOOKUP(C642,'Code ONU'!$C$1:$E$231,3,FALSE)</f>
        <v>Asie</v>
      </c>
      <c r="C642" s="1" t="s">
        <v>422</v>
      </c>
      <c r="D642" s="1">
        <v>2010</v>
      </c>
      <c r="E642" s="7">
        <v>68368</v>
      </c>
      <c r="F642" s="7">
        <v>564</v>
      </c>
      <c r="G642" s="4">
        <v>8.2494734378656676E-3</v>
      </c>
    </row>
    <row r="643" spans="1:7" x14ac:dyDescent="0.3">
      <c r="A643" s="1" t="s">
        <v>425</v>
      </c>
      <c r="B643" s="1" t="str">
        <f>VLOOKUP(C643,'Code ONU'!$C$1:$E$231,3,FALSE)</f>
        <v>Afrique de l'Ouest</v>
      </c>
      <c r="C643" s="1" t="s">
        <v>426</v>
      </c>
      <c r="D643" s="1">
        <v>2010</v>
      </c>
      <c r="E643" s="7">
        <v>6641</v>
      </c>
      <c r="F643" s="7">
        <v>2206</v>
      </c>
      <c r="G643" s="4">
        <v>0.33217888872157808</v>
      </c>
    </row>
    <row r="644" spans="1:7" x14ac:dyDescent="0.3">
      <c r="A644" s="1" t="s">
        <v>617</v>
      </c>
      <c r="B644" s="1" t="str">
        <f>VLOOKUP(C644,'Code ONU'!$C$1:$E$231,3,FALSE)</f>
        <v>Afrique du Nord</v>
      </c>
      <c r="C644" s="1" t="s">
        <v>434</v>
      </c>
      <c r="D644" s="1">
        <v>2010</v>
      </c>
      <c r="E644" s="7">
        <v>10707</v>
      </c>
      <c r="F644" s="7">
        <v>6852</v>
      </c>
      <c r="G644" s="4">
        <v>0.63995516951527043</v>
      </c>
    </row>
    <row r="645" spans="1:7" x14ac:dyDescent="0.3">
      <c r="A645" s="1" t="s">
        <v>445</v>
      </c>
      <c r="B645" s="1" t="str">
        <f>VLOOKUP(C645,'Code ONU'!$C$1:$E$231,3,FALSE)</f>
        <v>Europe centrale et orientale</v>
      </c>
      <c r="C645" s="1" t="s">
        <v>446</v>
      </c>
      <c r="D645" s="1">
        <v>2010</v>
      </c>
      <c r="E645" s="7">
        <v>46538</v>
      </c>
      <c r="F645" s="7">
        <v>56.288630694799082</v>
      </c>
      <c r="G645" s="4">
        <v>1.2095197622329942E-3</v>
      </c>
    </row>
    <row r="646" spans="1:7" x14ac:dyDescent="0.3">
      <c r="A646" s="1" t="s">
        <v>457</v>
      </c>
      <c r="B646" s="1" t="str">
        <f>VLOOKUP(C646,'Code ONU'!$C$1:$E$231,3,FALSE)</f>
        <v>Amériques</v>
      </c>
      <c r="C646" s="1" t="s">
        <v>458</v>
      </c>
      <c r="D646" s="1">
        <v>2010</v>
      </c>
      <c r="E646" s="7">
        <v>3314</v>
      </c>
      <c r="F646" s="7"/>
      <c r="G646" s="4">
        <v>0</v>
      </c>
    </row>
    <row r="647" spans="1:7" x14ac:dyDescent="0.3">
      <c r="A647" s="1" t="s">
        <v>461</v>
      </c>
      <c r="B647" s="1" t="str">
        <f>VLOOKUP(C647,'Code ONU'!$C$1:$E$231,3,FALSE)</f>
        <v>Océanie</v>
      </c>
      <c r="C647" s="1" t="s">
        <v>462</v>
      </c>
      <c r="D647" s="1">
        <v>2010</v>
      </c>
      <c r="E647" s="7">
        <v>236</v>
      </c>
      <c r="F647" s="7">
        <v>74</v>
      </c>
      <c r="G647" s="4">
        <v>0.3135593220338983</v>
      </c>
    </row>
    <row r="648" spans="1:7" x14ac:dyDescent="0.3">
      <c r="A648" s="1" t="s">
        <v>465</v>
      </c>
      <c r="B648" s="1" t="str">
        <f>VLOOKUP(C648,'Code ONU'!$C$1:$E$231,3,FALSE)</f>
        <v>Asie</v>
      </c>
      <c r="C648" s="1" t="s">
        <v>466</v>
      </c>
      <c r="D648" s="1">
        <v>2010</v>
      </c>
      <c r="E648" s="7">
        <v>86955</v>
      </c>
      <c r="F648" s="7">
        <v>609</v>
      </c>
      <c r="G648" s="4">
        <v>7.0036225633948596E-3</v>
      </c>
    </row>
    <row r="649" spans="1:7" x14ac:dyDescent="0.3">
      <c r="A649" s="1" t="s">
        <v>79</v>
      </c>
      <c r="B649" s="1" t="str">
        <f>VLOOKUP(C649,'Code ONU'!$C$1:$E$231,3,FALSE)</f>
        <v>Afrique de l'Est</v>
      </c>
      <c r="C649" s="1" t="s">
        <v>80</v>
      </c>
      <c r="D649" s="1">
        <v>2026</v>
      </c>
      <c r="E649" s="7">
        <v>14729</v>
      </c>
      <c r="F649" s="7">
        <v>1278.4772</v>
      </c>
      <c r="G649" s="4">
        <v>8.6800000000000002E-2</v>
      </c>
    </row>
    <row r="650" spans="1:7" x14ac:dyDescent="0.3">
      <c r="A650" s="1" t="s">
        <v>508</v>
      </c>
      <c r="B650" s="1" t="str">
        <f>VLOOKUP(C650,'Code ONU'!$C$1:$E$231,3,FALSE)</f>
        <v>Afrique australe et Océan Indien</v>
      </c>
      <c r="C650" s="1" t="s">
        <v>107</v>
      </c>
      <c r="D650" s="1">
        <v>2026</v>
      </c>
      <c r="E650" s="7">
        <v>899</v>
      </c>
      <c r="F650" s="7">
        <v>339.1927</v>
      </c>
      <c r="G650" s="4">
        <v>0.37730000000000002</v>
      </c>
    </row>
    <row r="651" spans="1:7" x14ac:dyDescent="0.3">
      <c r="A651" s="1" t="s">
        <v>132</v>
      </c>
      <c r="B651" s="1" t="str">
        <f>VLOOKUP(C651,'Code ONU'!$C$1:$E$231,3,FALSE)</f>
        <v>Afrique de l'Est</v>
      </c>
      <c r="C651" s="1" t="s">
        <v>133</v>
      </c>
      <c r="D651" s="1">
        <v>2026</v>
      </c>
      <c r="E651" s="7">
        <v>1199</v>
      </c>
      <c r="F651" s="7">
        <v>599.5</v>
      </c>
      <c r="G651" s="4">
        <v>0.5</v>
      </c>
    </row>
    <row r="652" spans="1:7" x14ac:dyDescent="0.3">
      <c r="A652" s="1" t="s">
        <v>258</v>
      </c>
      <c r="B652" s="1" t="str">
        <f>VLOOKUP(C652,'Code ONU'!$C$1:$E$231,3,FALSE)</f>
        <v>Afrique australe et Océan Indien</v>
      </c>
      <c r="C652" s="1" t="s">
        <v>259</v>
      </c>
      <c r="D652" s="1">
        <v>2026</v>
      </c>
      <c r="E652" s="7">
        <v>33522</v>
      </c>
      <c r="F652" s="7">
        <v>8913.4998000000014</v>
      </c>
      <c r="G652" s="4">
        <v>0.26590000000000003</v>
      </c>
    </row>
    <row r="653" spans="1:7" x14ac:dyDescent="0.3">
      <c r="A653" s="1" t="s">
        <v>564</v>
      </c>
      <c r="B653" s="1" t="str">
        <f>VLOOKUP(C653,'Code ONU'!$C$1:$E$231,3,FALSE)</f>
        <v>Afrique australe et Océan Indien</v>
      </c>
      <c r="C653" s="1" t="s">
        <v>277</v>
      </c>
      <c r="D653" s="1">
        <v>2026</v>
      </c>
      <c r="E653" s="7">
        <v>1265</v>
      </c>
      <c r="F653" s="7">
        <v>919.02250000000004</v>
      </c>
      <c r="G653" s="4">
        <v>0.72650000000000003</v>
      </c>
    </row>
    <row r="654" spans="1:7" x14ac:dyDescent="0.3">
      <c r="A654" s="1" t="s">
        <v>278</v>
      </c>
      <c r="B654" s="1" t="str">
        <f>VLOOKUP(C654,'Code ONU'!$C$1:$E$231,3,FALSE)</f>
        <v>Afrique australe et Océan Indien</v>
      </c>
      <c r="C654" s="1" t="s">
        <v>279</v>
      </c>
      <c r="D654" s="1">
        <v>2026</v>
      </c>
      <c r="E654" s="7">
        <v>348</v>
      </c>
      <c r="F654" s="7">
        <v>219.24</v>
      </c>
      <c r="G654" s="4">
        <v>0.63</v>
      </c>
    </row>
    <row r="655" spans="1:7" x14ac:dyDescent="0.3">
      <c r="A655" s="1" t="s">
        <v>294</v>
      </c>
      <c r="B655" s="1" t="str">
        <f>VLOOKUP(C655,'Code ONU'!$C$1:$E$231,3,FALSE)</f>
        <v>Afrique de l'Est</v>
      </c>
      <c r="C655" s="1" t="s">
        <v>295</v>
      </c>
      <c r="D655" s="1">
        <v>2026</v>
      </c>
      <c r="E655" s="7">
        <v>36640</v>
      </c>
      <c r="F655" s="7">
        <v>109.92</v>
      </c>
      <c r="G655" s="4">
        <v>3.0000000000000001E-3</v>
      </c>
    </row>
    <row r="656" spans="1:7" x14ac:dyDescent="0.3">
      <c r="A656" s="1" t="s">
        <v>351</v>
      </c>
      <c r="B656" s="1" t="str">
        <f>VLOOKUP(C656,'Code ONU'!$C$1:$E$231,3,FALSE)</f>
        <v>Afrique australe et Océan Indien</v>
      </c>
      <c r="C656" s="1" t="s">
        <v>352</v>
      </c>
      <c r="D656" s="1">
        <v>2026</v>
      </c>
      <c r="E656" s="7">
        <v>886</v>
      </c>
      <c r="F656" s="7">
        <v>779.68</v>
      </c>
      <c r="G656" s="4">
        <v>0.88</v>
      </c>
    </row>
    <row r="657" spans="1:7" x14ac:dyDescent="0.3">
      <c r="A657" s="1" t="s">
        <v>357</v>
      </c>
      <c r="B657" s="1" t="str">
        <f>VLOOKUP(C657,'Code ONU'!$C$1:$E$231,3,FALSE)</f>
        <v>Afrique de l'Est</v>
      </c>
      <c r="C657" s="1" t="s">
        <v>358</v>
      </c>
      <c r="D657" s="1">
        <v>2026</v>
      </c>
      <c r="E657" s="7">
        <v>14890</v>
      </c>
      <c r="F657" s="7">
        <v>765.346</v>
      </c>
      <c r="G657" s="4">
        <v>5.1400000000000001E-2</v>
      </c>
    </row>
    <row r="658" spans="1:7" x14ac:dyDescent="0.3">
      <c r="A658" s="1" t="s">
        <v>383</v>
      </c>
      <c r="B658" s="1" t="str">
        <f>VLOOKUP(C658,'Code ONU'!$C$1:$E$231,3,FALSE)</f>
        <v>Afrique australe et Océan Indien</v>
      </c>
      <c r="C658" s="1" t="s">
        <v>384</v>
      </c>
      <c r="D658" s="1">
        <v>2026</v>
      </c>
      <c r="E658" s="7">
        <v>135</v>
      </c>
      <c r="F658" s="7">
        <v>71.55</v>
      </c>
      <c r="G658" s="4">
        <v>0.53</v>
      </c>
    </row>
    <row r="659" spans="1:7" x14ac:dyDescent="0.3">
      <c r="A659" s="1" t="s">
        <v>499</v>
      </c>
      <c r="B659" s="1" t="str">
        <f>VLOOKUP(C659,'Code ONU'!$C$1:$E$231,3,FALSE)</f>
        <v>Afrique centrale</v>
      </c>
      <c r="C659" s="1" t="s">
        <v>87</v>
      </c>
      <c r="D659" s="1">
        <v>2026</v>
      </c>
      <c r="E659" s="7">
        <v>30641</v>
      </c>
      <c r="F659" s="7">
        <v>12581.194600000001</v>
      </c>
      <c r="G659" s="4">
        <v>0.41060000000000002</v>
      </c>
    </row>
    <row r="660" spans="1:7" x14ac:dyDescent="0.3">
      <c r="A660" s="1" t="s">
        <v>501</v>
      </c>
      <c r="B660" s="1" t="str">
        <f>VLOOKUP(C660,'Code ONU'!$C$1:$E$231,3,FALSE)</f>
        <v>Afrique centrale</v>
      </c>
      <c r="C660" s="1" t="s">
        <v>93</v>
      </c>
      <c r="D660" s="1">
        <v>2026</v>
      </c>
      <c r="E660" s="7">
        <v>5699</v>
      </c>
      <c r="F660" s="7">
        <v>1389.9861000000001</v>
      </c>
      <c r="G660" s="4">
        <v>0.24390000000000001</v>
      </c>
    </row>
    <row r="661" spans="1:7" x14ac:dyDescent="0.3">
      <c r="A661" s="1" t="s">
        <v>502</v>
      </c>
      <c r="B661" s="1" t="str">
        <f>VLOOKUP(C661,'Code ONU'!$C$1:$E$231,3,FALSE)</f>
        <v>Afrique centrale</v>
      </c>
      <c r="C661" s="1" t="s">
        <v>95</v>
      </c>
      <c r="D661" s="1">
        <v>2026</v>
      </c>
      <c r="E661" s="7">
        <v>21560</v>
      </c>
      <c r="F661" s="7">
        <v>2763.9920000000002</v>
      </c>
      <c r="G661" s="4">
        <v>0.12820000000000001</v>
      </c>
    </row>
    <row r="662" spans="1:7" x14ac:dyDescent="0.3">
      <c r="A662" s="1" t="s">
        <v>108</v>
      </c>
      <c r="B662" s="1" t="str">
        <f>VLOOKUP(C662,'Code ONU'!$C$1:$E$231,3,FALSE)</f>
        <v>Afrique centrale</v>
      </c>
      <c r="C662" s="1" t="s">
        <v>109</v>
      </c>
      <c r="D662" s="1">
        <v>2026</v>
      </c>
      <c r="E662" s="7">
        <v>6638</v>
      </c>
      <c r="F662" s="7">
        <v>4075.732</v>
      </c>
      <c r="G662" s="4">
        <v>0.61399999999999999</v>
      </c>
    </row>
    <row r="663" spans="1:7" x14ac:dyDescent="0.3">
      <c r="A663" s="1" t="s">
        <v>515</v>
      </c>
      <c r="B663" s="1" t="str">
        <f>VLOOKUP(C663,'Code ONU'!$C$1:$E$231,3,FALSE)</f>
        <v>Afrique centrale</v>
      </c>
      <c r="C663" s="1" t="s">
        <v>129</v>
      </c>
      <c r="D663" s="1">
        <v>2026</v>
      </c>
      <c r="E663" s="7">
        <v>116452</v>
      </c>
      <c r="F663" s="7">
        <v>59029.518800000005</v>
      </c>
      <c r="G663" s="4">
        <v>0.50690000000000002</v>
      </c>
    </row>
    <row r="664" spans="1:7" x14ac:dyDescent="0.3">
      <c r="A664" s="1" t="s">
        <v>521</v>
      </c>
      <c r="B664" s="1" t="str">
        <f>VLOOKUP(C664,'Code ONU'!$C$1:$E$231,3,FALSE)</f>
        <v>Afrique centrale</v>
      </c>
      <c r="C664" s="1" t="s">
        <v>145</v>
      </c>
      <c r="D664" s="1">
        <v>2026</v>
      </c>
      <c r="E664" s="7">
        <v>1984</v>
      </c>
      <c r="F664" s="7">
        <v>573.57440000000008</v>
      </c>
      <c r="G664" s="4">
        <v>0.28910000000000002</v>
      </c>
    </row>
    <row r="665" spans="1:7" x14ac:dyDescent="0.3">
      <c r="A665" s="1" t="s">
        <v>168</v>
      </c>
      <c r="B665" s="1" t="str">
        <f>VLOOKUP(C665,'Code ONU'!$C$1:$E$231,3,FALSE)</f>
        <v>Afrique centrale</v>
      </c>
      <c r="C665" s="1" t="s">
        <v>169</v>
      </c>
      <c r="D665" s="1">
        <v>2026</v>
      </c>
      <c r="E665" s="7">
        <v>2647</v>
      </c>
      <c r="F665" s="7">
        <v>1754.961</v>
      </c>
      <c r="G665" s="4">
        <v>0.66300000000000003</v>
      </c>
    </row>
    <row r="666" spans="1:7" x14ac:dyDescent="0.3">
      <c r="A666" s="1" t="s">
        <v>595</v>
      </c>
      <c r="B666" s="1" t="str">
        <f>VLOOKUP(C666,'Code ONU'!$C$1:$E$231,3,FALSE)</f>
        <v>Afrique centrale</v>
      </c>
      <c r="C666" s="1" t="s">
        <v>376</v>
      </c>
      <c r="D666" s="1">
        <v>2026</v>
      </c>
      <c r="E666" s="7">
        <v>245</v>
      </c>
      <c r="F666" s="7">
        <v>49.49</v>
      </c>
      <c r="G666" s="4">
        <v>0.20200000000000001</v>
      </c>
    </row>
    <row r="667" spans="1:7" x14ac:dyDescent="0.3">
      <c r="A667" s="1" t="s">
        <v>476</v>
      </c>
      <c r="B667" s="1" t="str">
        <f>VLOOKUP(C667,'Code ONU'!$C$1:$E$231,3,FALSE)</f>
        <v>Afrique du Nord</v>
      </c>
      <c r="C667" s="1" t="s">
        <v>11</v>
      </c>
      <c r="D667" s="1">
        <v>2026</v>
      </c>
      <c r="E667" s="7">
        <v>48028</v>
      </c>
      <c r="F667" s="7">
        <v>15782.0008</v>
      </c>
      <c r="G667" s="4">
        <v>0.3286</v>
      </c>
    </row>
    <row r="668" spans="1:7" x14ac:dyDescent="0.3">
      <c r="A668" s="1" t="s">
        <v>520</v>
      </c>
      <c r="B668" s="1" t="str">
        <f>VLOOKUP(C668,'Code ONU'!$C$1:$E$231,3,FALSE)</f>
        <v>Afrique du Nord</v>
      </c>
      <c r="C668" s="1" t="s">
        <v>141</v>
      </c>
      <c r="D668" s="1">
        <v>2026</v>
      </c>
      <c r="E668" s="7">
        <v>120101</v>
      </c>
      <c r="F668" s="7">
        <v>3627.0502000000001</v>
      </c>
      <c r="G668" s="4">
        <v>3.0200000000000001E-2</v>
      </c>
    </row>
    <row r="669" spans="1:7" x14ac:dyDescent="0.3">
      <c r="A669" s="1" t="s">
        <v>569</v>
      </c>
      <c r="B669" s="1" t="str">
        <f>VLOOKUP(C669,'Code ONU'!$C$1:$E$231,3,FALSE)</f>
        <v>Afrique du Nord</v>
      </c>
      <c r="C669" s="1" t="s">
        <v>293</v>
      </c>
      <c r="D669" s="1">
        <v>2026</v>
      </c>
      <c r="E669" s="7">
        <v>38762</v>
      </c>
      <c r="F669" s="7">
        <v>14031.843999999999</v>
      </c>
      <c r="G669" s="4">
        <v>0.36199999999999999</v>
      </c>
    </row>
    <row r="670" spans="1:7" x14ac:dyDescent="0.3">
      <c r="A670" s="1" t="s">
        <v>617</v>
      </c>
      <c r="B670" s="1" t="str">
        <f>VLOOKUP(C670,'Code ONU'!$C$1:$E$231,3,FALSE)</f>
        <v>Afrique du Nord</v>
      </c>
      <c r="C670" s="1" t="s">
        <v>434</v>
      </c>
      <c r="D670" s="1">
        <v>2026</v>
      </c>
      <c r="E670" s="7">
        <v>12415</v>
      </c>
      <c r="F670" s="7">
        <v>6593.6064999999999</v>
      </c>
      <c r="G670" s="4">
        <v>0.53110000000000002</v>
      </c>
    </row>
    <row r="671" spans="1:7" x14ac:dyDescent="0.3">
      <c r="A671" s="1" t="s">
        <v>489</v>
      </c>
      <c r="B671" s="1" t="str">
        <f>VLOOKUP(C671,'Code ONU'!$C$1:$E$231,3,FALSE)</f>
        <v>Afrique de l'Ouest</v>
      </c>
      <c r="C671" s="1" t="s">
        <v>56</v>
      </c>
      <c r="D671" s="1">
        <v>2026</v>
      </c>
      <c r="E671" s="7">
        <v>15170</v>
      </c>
      <c r="F671" s="7">
        <v>5112.29</v>
      </c>
      <c r="G671" s="4">
        <v>0.33700000000000002</v>
      </c>
    </row>
    <row r="672" spans="1:7" x14ac:dyDescent="0.3">
      <c r="A672" s="1" t="s">
        <v>77</v>
      </c>
      <c r="B672" s="1" t="str">
        <f>VLOOKUP(C672,'Code ONU'!$C$1:$E$231,3,FALSE)</f>
        <v>Afrique de l'Ouest</v>
      </c>
      <c r="C672" s="1" t="s">
        <v>78</v>
      </c>
      <c r="D672" s="1">
        <v>2026</v>
      </c>
      <c r="E672" s="7">
        <v>24602</v>
      </c>
      <c r="F672" s="7">
        <v>5619.0967999999993</v>
      </c>
      <c r="G672" s="4">
        <v>0.22839999999999999</v>
      </c>
    </row>
    <row r="673" spans="1:7" x14ac:dyDescent="0.3">
      <c r="A673" s="1" t="s">
        <v>82</v>
      </c>
      <c r="B673" s="1" t="str">
        <f>VLOOKUP(C673,'Code ONU'!$C$1:$E$231,3,FALSE)</f>
        <v>Afrique de l'Ouest</v>
      </c>
      <c r="C673" s="1" t="s">
        <v>83</v>
      </c>
      <c r="D673" s="1">
        <v>2026</v>
      </c>
      <c r="E673" s="7">
        <v>530</v>
      </c>
      <c r="F673" s="7">
        <v>57.398999999999994</v>
      </c>
      <c r="G673" s="4">
        <v>0.10829999999999999</v>
      </c>
    </row>
    <row r="674" spans="1:7" x14ac:dyDescent="0.3">
      <c r="A674" s="1" t="s">
        <v>510</v>
      </c>
      <c r="B674" s="1" t="str">
        <f>VLOOKUP(C674,'Code ONU'!$C$1:$E$231,3,FALSE)</f>
        <v>Afrique de l'Ouest</v>
      </c>
      <c r="C674" s="1" t="s">
        <v>115</v>
      </c>
      <c r="D674" s="1">
        <v>2026</v>
      </c>
      <c r="E674" s="7">
        <v>33494</v>
      </c>
      <c r="F674" s="7">
        <v>12198.514800000001</v>
      </c>
      <c r="G674" s="4">
        <v>0.36420000000000002</v>
      </c>
    </row>
    <row r="675" spans="1:7" x14ac:dyDescent="0.3">
      <c r="A675" s="1" t="s">
        <v>531</v>
      </c>
      <c r="B675" s="1" t="str">
        <f>VLOOKUP(C675,'Code ONU'!$C$1:$E$231,3,FALSE)</f>
        <v>Afrique de l'Ouest</v>
      </c>
      <c r="C675" s="1" t="s">
        <v>171</v>
      </c>
      <c r="D675" s="1">
        <v>2026</v>
      </c>
      <c r="E675" s="7">
        <v>2884</v>
      </c>
      <c r="F675" s="7">
        <v>576.80000000000007</v>
      </c>
      <c r="G675" s="4">
        <v>0.2</v>
      </c>
    </row>
    <row r="676" spans="1:7" x14ac:dyDescent="0.3">
      <c r="A676" s="1" t="s">
        <v>176</v>
      </c>
      <c r="B676" s="1" t="str">
        <f>VLOOKUP(C676,'Code ONU'!$C$1:$E$231,3,FALSE)</f>
        <v>Afrique de l'Ouest</v>
      </c>
      <c r="C676" s="1" t="s">
        <v>177</v>
      </c>
      <c r="D676" s="1">
        <v>2026</v>
      </c>
      <c r="E676" s="7">
        <v>35698</v>
      </c>
      <c r="F676" s="7">
        <v>656.84320000000002</v>
      </c>
      <c r="G676" s="4">
        <v>1.84E-2</v>
      </c>
    </row>
    <row r="677" spans="1:7" x14ac:dyDescent="0.3">
      <c r="A677" s="1" t="s">
        <v>537</v>
      </c>
      <c r="B677" s="1" t="str">
        <f>VLOOKUP(C677,'Code ONU'!$C$1:$E$231,3,FALSE)</f>
        <v>Afrique de l'Ouest</v>
      </c>
      <c r="C677" s="1" t="s">
        <v>193</v>
      </c>
      <c r="D677" s="1">
        <v>2026</v>
      </c>
      <c r="E677" s="7">
        <v>15442</v>
      </c>
      <c r="F677" s="7">
        <v>4297.5086000000001</v>
      </c>
      <c r="G677" s="4">
        <v>0.27829999999999999</v>
      </c>
    </row>
    <row r="678" spans="1:7" x14ac:dyDescent="0.3">
      <c r="A678" s="1" t="s">
        <v>538</v>
      </c>
      <c r="B678" s="1" t="str">
        <f>VLOOKUP(C678,'Code ONU'!$C$1:$E$231,3,FALSE)</f>
        <v>Afrique de l'Ouest</v>
      </c>
      <c r="C678" s="1" t="s">
        <v>195</v>
      </c>
      <c r="D678" s="1">
        <v>2026</v>
      </c>
      <c r="E678" s="7">
        <v>2298</v>
      </c>
      <c r="F678" s="7">
        <v>353.43239999999997</v>
      </c>
      <c r="G678" s="4">
        <v>0.15379999999999999</v>
      </c>
    </row>
    <row r="679" spans="1:7" x14ac:dyDescent="0.3">
      <c r="A679" s="1" t="s">
        <v>266</v>
      </c>
      <c r="B679" s="1" t="str">
        <f>VLOOKUP(C679,'Code ONU'!$C$1:$E$231,3,FALSE)</f>
        <v>Afrique de l'Ouest</v>
      </c>
      <c r="C679" s="1" t="s">
        <v>267</v>
      </c>
      <c r="D679" s="1">
        <v>2026</v>
      </c>
      <c r="E679" s="7">
        <v>25932</v>
      </c>
      <c r="F679" s="7">
        <v>5173.4340000000002</v>
      </c>
      <c r="G679" s="4">
        <v>0.19950000000000001</v>
      </c>
    </row>
    <row r="680" spans="1:7" x14ac:dyDescent="0.3">
      <c r="A680" s="1" t="s">
        <v>563</v>
      </c>
      <c r="B680" s="1" t="str">
        <f>VLOOKUP(C680,'Code ONU'!$C$1:$E$231,3,FALSE)</f>
        <v>Afrique du Nord</v>
      </c>
      <c r="C680" s="1" t="s">
        <v>275</v>
      </c>
      <c r="D680" s="1">
        <v>2026</v>
      </c>
      <c r="E680" s="7">
        <v>5461</v>
      </c>
      <c r="F680" s="7">
        <v>707.74559999999997</v>
      </c>
      <c r="G680" s="4">
        <v>0.12959999999999999</v>
      </c>
    </row>
    <row r="681" spans="1:7" x14ac:dyDescent="0.3">
      <c r="A681" s="1" t="s">
        <v>312</v>
      </c>
      <c r="B681" s="1" t="str">
        <f>VLOOKUP(C681,'Code ONU'!$C$1:$E$231,3,FALSE)</f>
        <v>Afrique de l'Ouest</v>
      </c>
      <c r="C681" s="1" t="s">
        <v>313</v>
      </c>
      <c r="D681" s="1">
        <v>2026</v>
      </c>
      <c r="E681" s="7">
        <v>28815</v>
      </c>
      <c r="F681" s="7">
        <v>3875.6175000000003</v>
      </c>
      <c r="G681" s="4">
        <v>0.13450000000000001</v>
      </c>
    </row>
    <row r="682" spans="1:7" x14ac:dyDescent="0.3">
      <c r="A682" s="1" t="s">
        <v>597</v>
      </c>
      <c r="B682" s="1" t="str">
        <f>VLOOKUP(C682,'Code ONU'!$C$1:$E$231,3,FALSE)</f>
        <v>Afrique de l'Ouest</v>
      </c>
      <c r="C682" s="1" t="s">
        <v>380</v>
      </c>
      <c r="D682" s="1">
        <v>2026</v>
      </c>
      <c r="E682" s="7">
        <v>19367</v>
      </c>
      <c r="F682" s="7">
        <v>5370.4691000000003</v>
      </c>
      <c r="G682" s="4">
        <v>0.27729999999999999</v>
      </c>
    </row>
    <row r="683" spans="1:7" x14ac:dyDescent="0.3">
      <c r="A683" s="1" t="s">
        <v>425</v>
      </c>
      <c r="B683" s="1" t="str">
        <f>VLOOKUP(C683,'Code ONU'!$C$1:$E$231,3,FALSE)</f>
        <v>Afrique de l'Ouest</v>
      </c>
      <c r="C683" s="1" t="s">
        <v>426</v>
      </c>
      <c r="D683" s="1">
        <v>2026</v>
      </c>
      <c r="E683" s="7">
        <v>9931</v>
      </c>
      <c r="F683" s="7">
        <v>4083.6271999999999</v>
      </c>
      <c r="G683" s="4">
        <v>0.41120000000000001</v>
      </c>
    </row>
    <row r="684" spans="1:7" x14ac:dyDescent="0.3">
      <c r="A684" s="1" t="s">
        <v>550</v>
      </c>
      <c r="B684" s="1" t="str">
        <f>VLOOKUP(C684,'Code ONU'!$C$1:$E$231,3,FALSE)</f>
        <v>Asie</v>
      </c>
      <c r="C684" s="1" t="s">
        <v>225</v>
      </c>
      <c r="D684" s="1">
        <v>2026</v>
      </c>
      <c r="E684" s="7">
        <v>122428</v>
      </c>
      <c r="F684" s="7">
        <v>24.485600000000002</v>
      </c>
      <c r="G684" s="4">
        <v>2.0000000000000001E-4</v>
      </c>
    </row>
    <row r="685" spans="1:7" x14ac:dyDescent="0.3">
      <c r="A685" s="1" t="s">
        <v>498</v>
      </c>
      <c r="B685" s="1" t="str">
        <f>VLOOKUP(C685,'Code ONU'!$C$1:$E$231,3,FALSE)</f>
        <v>Asie</v>
      </c>
      <c r="C685" s="1" t="s">
        <v>85</v>
      </c>
      <c r="D685" s="1">
        <v>2026</v>
      </c>
      <c r="E685" s="7">
        <v>18051</v>
      </c>
      <c r="F685" s="7">
        <v>28.881600000000002</v>
      </c>
      <c r="G685" s="4">
        <v>1.6000000000000001E-3</v>
      </c>
    </row>
    <row r="686" spans="1:7" x14ac:dyDescent="0.3">
      <c r="A686" s="1" t="s">
        <v>554</v>
      </c>
      <c r="B686" s="1" t="str">
        <f>VLOOKUP(C686,'Code ONU'!$C$1:$E$231,3,FALSE)</f>
        <v>Asie</v>
      </c>
      <c r="C686" s="1" t="s">
        <v>241</v>
      </c>
      <c r="D686" s="1">
        <v>2026</v>
      </c>
      <c r="E686" s="7">
        <v>7974</v>
      </c>
      <c r="F686" s="7">
        <v>217.6902</v>
      </c>
      <c r="G686" s="4">
        <v>2.7300000000000001E-2</v>
      </c>
    </row>
    <row r="687" spans="1:7" x14ac:dyDescent="0.3">
      <c r="A687" s="1" t="s">
        <v>614</v>
      </c>
      <c r="B687" s="1" t="str">
        <f>VLOOKUP(C687,'Code ONU'!$C$1:$E$231,3,FALSE)</f>
        <v>Asie</v>
      </c>
      <c r="C687" s="1" t="s">
        <v>422</v>
      </c>
      <c r="D687" s="1">
        <v>2026</v>
      </c>
      <c r="E687" s="7">
        <v>71560</v>
      </c>
      <c r="F687" s="7">
        <v>586.79200000000003</v>
      </c>
      <c r="G687" s="4">
        <v>8.2000000000000007E-3</v>
      </c>
    </row>
    <row r="688" spans="1:7" x14ac:dyDescent="0.3">
      <c r="A688" s="1" t="s">
        <v>465</v>
      </c>
      <c r="B688" s="1" t="str">
        <f>VLOOKUP(C688,'Code ONU'!$C$1:$E$231,3,FALSE)</f>
        <v>Asie</v>
      </c>
      <c r="C688" s="1" t="s">
        <v>466</v>
      </c>
      <c r="D688" s="1">
        <v>2026</v>
      </c>
      <c r="E688" s="7">
        <v>102177</v>
      </c>
      <c r="F688" s="7">
        <v>715.23900000000003</v>
      </c>
      <c r="G688" s="4">
        <v>7.0000000000000001E-3</v>
      </c>
    </row>
    <row r="689" spans="1:7" x14ac:dyDescent="0.3">
      <c r="A689" s="1" t="s">
        <v>481</v>
      </c>
      <c r="B689" s="1" t="str">
        <f>VLOOKUP(C689,'Code ONU'!$C$1:$E$231,3,FALSE)</f>
        <v>Moyen-Orient</v>
      </c>
      <c r="C689" s="1" t="s">
        <v>31</v>
      </c>
      <c r="D689" s="1">
        <v>2026</v>
      </c>
      <c r="E689" s="7">
        <v>2931</v>
      </c>
      <c r="F689" s="7">
        <v>4.6896000000000004</v>
      </c>
      <c r="G689" s="4">
        <v>1.6000000000000001E-3</v>
      </c>
    </row>
    <row r="690" spans="1:7" x14ac:dyDescent="0.3">
      <c r="A690" s="1" t="s">
        <v>512</v>
      </c>
      <c r="B690" s="1" t="str">
        <f>VLOOKUP(C690,'Code ONU'!$C$1:$E$231,3,FALSE)</f>
        <v>Moyen-Orient</v>
      </c>
      <c r="C690" s="1" t="s">
        <v>123</v>
      </c>
      <c r="D690" s="1">
        <v>2026</v>
      </c>
      <c r="E690" s="7">
        <v>1382</v>
      </c>
      <c r="F690" s="7">
        <v>111.11279999999999</v>
      </c>
      <c r="G690" s="4">
        <v>8.0399999999999999E-2</v>
      </c>
    </row>
    <row r="691" spans="1:7" x14ac:dyDescent="0.3">
      <c r="A691" s="1" t="s">
        <v>532</v>
      </c>
      <c r="B691" s="1" t="str">
        <f>VLOOKUP(C691,'Code ONU'!$C$1:$E$231,3,FALSE)</f>
        <v>Moyen-Orient</v>
      </c>
      <c r="C691" s="1" t="s">
        <v>173</v>
      </c>
      <c r="D691" s="1">
        <v>2026</v>
      </c>
      <c r="E691" s="7">
        <v>3805</v>
      </c>
      <c r="F691" s="7">
        <v>15.981</v>
      </c>
      <c r="G691" s="4">
        <v>4.1999999999999997E-3</v>
      </c>
    </row>
    <row r="692" spans="1:7" x14ac:dyDescent="0.3">
      <c r="A692" s="1" t="s">
        <v>547</v>
      </c>
      <c r="B692" s="1" t="str">
        <f>VLOOKUP(C692,'Code ONU'!$C$1:$E$231,3,FALSE)</f>
        <v>Moyen-Orient</v>
      </c>
      <c r="C692" s="1" t="s">
        <v>219</v>
      </c>
      <c r="D692" s="1">
        <v>2026</v>
      </c>
      <c r="E692" s="7">
        <v>9648</v>
      </c>
      <c r="F692" s="7">
        <v>571.16160000000002</v>
      </c>
      <c r="G692" s="4">
        <v>5.9200000000000003E-2</v>
      </c>
    </row>
    <row r="693" spans="1:7" x14ac:dyDescent="0.3">
      <c r="A693" s="1" t="s">
        <v>556</v>
      </c>
      <c r="B693" s="1" t="str">
        <f>VLOOKUP(C693,'Code ONU'!$C$1:$E$231,3,FALSE)</f>
        <v>Moyen-Orient</v>
      </c>
      <c r="C693" s="1" t="s">
        <v>245</v>
      </c>
      <c r="D693" s="1">
        <v>2026</v>
      </c>
      <c r="E693" s="7">
        <v>5897</v>
      </c>
      <c r="F693" s="7">
        <v>2240.2703000000001</v>
      </c>
      <c r="G693" s="4">
        <v>0.37990000000000002</v>
      </c>
    </row>
    <row r="694" spans="1:7" x14ac:dyDescent="0.3">
      <c r="A694" s="1" t="s">
        <v>346</v>
      </c>
      <c r="B694" s="1" t="str">
        <f>VLOOKUP(C694,'Code ONU'!$C$1:$E$231,3,FALSE)</f>
        <v>Moyen-Orient</v>
      </c>
      <c r="C694" s="1" t="s">
        <v>347</v>
      </c>
      <c r="D694" s="1">
        <v>2026</v>
      </c>
      <c r="E694" s="7">
        <v>3174</v>
      </c>
      <c r="F694" s="7">
        <v>134.89500000000001</v>
      </c>
      <c r="G694" s="4">
        <v>4.2500000000000003E-2</v>
      </c>
    </row>
    <row r="695" spans="1:7" x14ac:dyDescent="0.3">
      <c r="A695" s="1" t="s">
        <v>618</v>
      </c>
      <c r="B695" s="1" t="str">
        <f>VLOOKUP(C695,'Code ONU'!$C$1:$E$231,3,FALSE)</f>
        <v>Moyen-Orient</v>
      </c>
      <c r="C695" s="1" t="s">
        <v>436</v>
      </c>
      <c r="D695" s="1">
        <v>2026</v>
      </c>
      <c r="E695" s="7">
        <v>87926</v>
      </c>
      <c r="F695" s="7">
        <v>580.3116</v>
      </c>
      <c r="G695" s="4">
        <v>6.6E-3</v>
      </c>
    </row>
    <row r="696" spans="1:7" x14ac:dyDescent="0.3">
      <c r="A696" s="1" t="s">
        <v>639</v>
      </c>
      <c r="B696" s="1" t="str">
        <f>VLOOKUP(C696,'Code ONU'!$C$1:$E$231,3,FALSE)</f>
        <v>Moyen-Orient</v>
      </c>
      <c r="C696" s="1" t="s">
        <v>448</v>
      </c>
      <c r="D696" s="1">
        <v>2026</v>
      </c>
      <c r="E696" s="7">
        <v>11575</v>
      </c>
      <c r="F696" s="7">
        <v>303.26499999999999</v>
      </c>
      <c r="G696" s="4">
        <v>2.6200000000000001E-2</v>
      </c>
    </row>
    <row r="697" spans="1:7" x14ac:dyDescent="0.3">
      <c r="A697" s="1" t="s">
        <v>497</v>
      </c>
      <c r="B697" s="1" t="str">
        <f>VLOOKUP(C697,'Code ONU'!$C$1:$E$231,3,FALSE)</f>
        <v>Europe centrale et orientale</v>
      </c>
      <c r="C697" s="1" t="s">
        <v>76</v>
      </c>
      <c r="D697" s="1">
        <v>2026</v>
      </c>
      <c r="E697" s="7">
        <v>6668</v>
      </c>
      <c r="F697" s="7">
        <v>128.69240000000002</v>
      </c>
      <c r="G697" s="4">
        <v>1.9300000000000001E-2</v>
      </c>
    </row>
    <row r="698" spans="1:7" x14ac:dyDescent="0.3">
      <c r="A698" s="1" t="s">
        <v>641</v>
      </c>
      <c r="B698" s="1" t="str">
        <f>VLOOKUP(C698,'Code ONU'!$C$1:$E$231,3,FALSE)</f>
        <v>Europe centrale et orientale</v>
      </c>
      <c r="C698" s="1" t="s">
        <v>125</v>
      </c>
      <c r="D698" s="1">
        <v>2026</v>
      </c>
      <c r="E698" s="7">
        <v>10528</v>
      </c>
      <c r="F698" s="7">
        <v>247.40799999999999</v>
      </c>
      <c r="G698" s="4">
        <v>2.35E-2</v>
      </c>
    </row>
    <row r="699" spans="1:7" x14ac:dyDescent="0.3">
      <c r="A699" s="1" t="s">
        <v>540</v>
      </c>
      <c r="B699" s="1" t="str">
        <f>VLOOKUP(C699,'Code ONU'!$C$1:$E$231,3,FALSE)</f>
        <v>Europe centrale et orientale</v>
      </c>
      <c r="C699" s="1" t="s">
        <v>203</v>
      </c>
      <c r="D699" s="1">
        <v>2026</v>
      </c>
      <c r="E699" s="7">
        <v>9586</v>
      </c>
      <c r="F699" s="7">
        <v>146.66579999999999</v>
      </c>
      <c r="G699" s="4">
        <v>1.5299999999999999E-2</v>
      </c>
    </row>
    <row r="700" spans="1:7" x14ac:dyDescent="0.3">
      <c r="A700" s="1" t="s">
        <v>583</v>
      </c>
      <c r="B700" s="1" t="str">
        <f>VLOOKUP(C700,'Code ONU'!$C$1:$E$231,3,FALSE)</f>
        <v>Europe centrale et orientale</v>
      </c>
      <c r="C700" s="1" t="s">
        <v>341</v>
      </c>
      <c r="D700" s="1">
        <v>2026</v>
      </c>
      <c r="E700" s="7">
        <v>37843</v>
      </c>
      <c r="F700" s="7">
        <v>942.2906999999999</v>
      </c>
      <c r="G700" s="4">
        <v>2.4899999999999999E-2</v>
      </c>
    </row>
    <row r="701" spans="1:7" x14ac:dyDescent="0.3">
      <c r="A701" s="1" t="s">
        <v>585</v>
      </c>
      <c r="B701" s="1" t="str">
        <f>VLOOKUP(C701,'Code ONU'!$C$1:$E$231,3,FALSE)</f>
        <v>Europe centrale et orientale</v>
      </c>
      <c r="C701" s="1" t="s">
        <v>350</v>
      </c>
      <c r="D701" s="1">
        <v>2026</v>
      </c>
      <c r="E701" s="7">
        <v>2961</v>
      </c>
      <c r="F701" s="7">
        <v>40.269599999999997</v>
      </c>
      <c r="G701" s="4">
        <v>1.3599999999999999E-2</v>
      </c>
    </row>
    <row r="702" spans="1:7" x14ac:dyDescent="0.3">
      <c r="A702" s="1" t="s">
        <v>586</v>
      </c>
      <c r="B702" s="1" t="str">
        <f>VLOOKUP(C702,'Code ONU'!$C$1:$E$231,3,FALSE)</f>
        <v>Europe centrale et orientale</v>
      </c>
      <c r="C702" s="1" t="s">
        <v>354</v>
      </c>
      <c r="D702" s="1">
        <v>2026</v>
      </c>
      <c r="E702" s="7">
        <v>18801</v>
      </c>
      <c r="F702" s="7">
        <v>1934.6229000000001</v>
      </c>
      <c r="G702" s="4">
        <v>0.10290000000000001</v>
      </c>
    </row>
    <row r="703" spans="1:7" x14ac:dyDescent="0.3">
      <c r="A703" s="1" t="s">
        <v>587</v>
      </c>
      <c r="B703" s="1" t="str">
        <f>VLOOKUP(C703,'Code ONU'!$C$1:$E$231,3,FALSE)</f>
        <v>Europe centrale et orientale</v>
      </c>
      <c r="C703" s="1" t="s">
        <v>356</v>
      </c>
      <c r="D703" s="1">
        <v>2026</v>
      </c>
      <c r="E703" s="7">
        <v>143394</v>
      </c>
      <c r="F703" s="7">
        <v>616.5942</v>
      </c>
      <c r="G703" s="4">
        <v>4.3E-3</v>
      </c>
    </row>
    <row r="704" spans="1:7" x14ac:dyDescent="0.3">
      <c r="A704" s="1" t="s">
        <v>601</v>
      </c>
      <c r="B704" s="1" t="str">
        <f>VLOOKUP(C704,'Code ONU'!$C$1:$E$231,3,FALSE)</f>
        <v>Europe centrale et orientale</v>
      </c>
      <c r="C704" s="1" t="s">
        <v>392</v>
      </c>
      <c r="D704" s="1">
        <v>2026</v>
      </c>
      <c r="E704" s="7">
        <v>5451</v>
      </c>
      <c r="F704" s="7">
        <v>97.027799999999999</v>
      </c>
      <c r="G704" s="4">
        <v>1.78E-2</v>
      </c>
    </row>
    <row r="705" spans="1:7" x14ac:dyDescent="0.3">
      <c r="A705" s="1" t="s">
        <v>445</v>
      </c>
      <c r="B705" s="1" t="str">
        <f>VLOOKUP(C705,'Code ONU'!$C$1:$E$231,3,FALSE)</f>
        <v>Europe centrale et orientale</v>
      </c>
      <c r="C705" s="1" t="s">
        <v>446</v>
      </c>
      <c r="D705" s="1">
        <v>2026</v>
      </c>
      <c r="E705" s="7">
        <v>39536</v>
      </c>
      <c r="F705" s="7">
        <v>47.443199999999997</v>
      </c>
      <c r="G705" s="4">
        <v>1.1999999999999999E-3</v>
      </c>
    </row>
    <row r="706" spans="1:7" x14ac:dyDescent="0.3">
      <c r="A706" s="1" t="s">
        <v>516</v>
      </c>
      <c r="B706" s="1" t="str">
        <f>VLOOKUP(C706,'Code ONU'!$C$1:$E$231,3,FALSE)</f>
        <v>Europe occidentale</v>
      </c>
      <c r="C706" s="1" t="s">
        <v>131</v>
      </c>
      <c r="D706" s="1">
        <v>2026</v>
      </c>
      <c r="E706" s="7">
        <v>6024</v>
      </c>
      <c r="F706" s="7">
        <v>525.89520000000005</v>
      </c>
      <c r="G706" s="4">
        <v>8.7300000000000003E-2</v>
      </c>
    </row>
    <row r="707" spans="1:7" x14ac:dyDescent="0.3">
      <c r="A707" s="1" t="s">
        <v>523</v>
      </c>
      <c r="B707" s="1" t="str">
        <f>VLOOKUP(C707,'Code ONU'!$C$1:$E$231,3,FALSE)</f>
        <v>Europe occidentale</v>
      </c>
      <c r="C707" s="1" t="s">
        <v>149</v>
      </c>
      <c r="D707" s="1">
        <v>2026</v>
      </c>
      <c r="E707" s="7">
        <v>1331</v>
      </c>
      <c r="F707" s="7">
        <v>18.500899999999998</v>
      </c>
      <c r="G707" s="4">
        <v>1.3899999999999999E-2</v>
      </c>
    </row>
    <row r="708" spans="1:7" x14ac:dyDescent="0.3">
      <c r="A708" s="1" t="s">
        <v>528</v>
      </c>
      <c r="B708" s="1" t="str">
        <f>VLOOKUP(C708,'Code ONU'!$C$1:$E$231,3,FALSE)</f>
        <v>Europe occidentale</v>
      </c>
      <c r="C708" s="1" t="s">
        <v>161</v>
      </c>
      <c r="D708" s="1">
        <v>2026</v>
      </c>
      <c r="E708" s="7">
        <v>5622</v>
      </c>
      <c r="F708" s="7">
        <v>469.43700000000001</v>
      </c>
      <c r="G708" s="4">
        <v>8.3500000000000005E-2</v>
      </c>
    </row>
    <row r="709" spans="1:7" x14ac:dyDescent="0.3">
      <c r="A709" s="1" t="s">
        <v>541</v>
      </c>
      <c r="B709" s="1" t="str">
        <f>VLOOKUP(C709,'Code ONU'!$C$1:$E$231,3,FALSE)</f>
        <v>Europe occidentale</v>
      </c>
      <c r="C709" s="1" t="s">
        <v>205</v>
      </c>
      <c r="D709" s="1">
        <v>2026</v>
      </c>
      <c r="E709" s="7">
        <v>402</v>
      </c>
      <c r="F709" s="7">
        <v>26.974200000000003</v>
      </c>
      <c r="G709" s="4">
        <v>6.7100000000000007E-2</v>
      </c>
    </row>
    <row r="710" spans="1:7" x14ac:dyDescent="0.3">
      <c r="A710" s="1" t="s">
        <v>545</v>
      </c>
      <c r="B710" s="1" t="str">
        <f>VLOOKUP(C710,'Code ONU'!$C$1:$E$231,3,FALSE)</f>
        <v>Europe occidentale</v>
      </c>
      <c r="C710" s="1" t="s">
        <v>215</v>
      </c>
      <c r="D710" s="1">
        <v>2026</v>
      </c>
      <c r="E710" s="7">
        <v>5357</v>
      </c>
      <c r="F710" s="7">
        <v>901.04739999999993</v>
      </c>
      <c r="G710" s="4">
        <v>0.16819999999999999</v>
      </c>
    </row>
    <row r="711" spans="1:7" x14ac:dyDescent="0.3">
      <c r="A711" s="1" t="s">
        <v>555</v>
      </c>
      <c r="B711" s="1" t="str">
        <f>VLOOKUP(C711,'Code ONU'!$C$1:$E$231,3,FALSE)</f>
        <v>Europe occidentale</v>
      </c>
      <c r="C711" s="1" t="s">
        <v>243</v>
      </c>
      <c r="D711" s="1">
        <v>2026</v>
      </c>
      <c r="E711" s="7">
        <v>1836</v>
      </c>
      <c r="F711" s="7">
        <v>23.3172</v>
      </c>
      <c r="G711" s="4">
        <v>1.2699999999999999E-2</v>
      </c>
    </row>
    <row r="712" spans="1:7" x14ac:dyDescent="0.3">
      <c r="A712" s="1" t="s">
        <v>559</v>
      </c>
      <c r="B712" s="1" t="str">
        <f>VLOOKUP(C712,'Code ONU'!$C$1:$E$231,3,FALSE)</f>
        <v>Europe occidentale</v>
      </c>
      <c r="C712" s="1" t="s">
        <v>255</v>
      </c>
      <c r="D712" s="1">
        <v>2026</v>
      </c>
      <c r="E712" s="7">
        <v>2797</v>
      </c>
      <c r="F712" s="7">
        <v>60.415200000000006</v>
      </c>
      <c r="G712" s="4">
        <v>2.1600000000000001E-2</v>
      </c>
    </row>
    <row r="713" spans="1:7" x14ac:dyDescent="0.3">
      <c r="A713" s="1" t="s">
        <v>579</v>
      </c>
      <c r="B713" s="1" t="str">
        <f>VLOOKUP(C713,'Code ONU'!$C$1:$E$231,3,FALSE)</f>
        <v>Europe occidentale</v>
      </c>
      <c r="C713" s="1" t="s">
        <v>323</v>
      </c>
      <c r="D713" s="1">
        <v>2026</v>
      </c>
      <c r="E713" s="7">
        <v>5653</v>
      </c>
      <c r="F713" s="7">
        <v>405.8854</v>
      </c>
      <c r="G713" s="4">
        <v>7.1800000000000003E-2</v>
      </c>
    </row>
    <row r="714" spans="1:7" x14ac:dyDescent="0.3">
      <c r="A714" s="1" t="s">
        <v>610</v>
      </c>
      <c r="B714" s="1" t="str">
        <f>VLOOKUP(C714,'Code ONU'!$C$1:$E$231,3,FALSE)</f>
        <v>Europe occidentale</v>
      </c>
      <c r="C714" s="1" t="s">
        <v>414</v>
      </c>
      <c r="D714" s="1">
        <v>2026</v>
      </c>
      <c r="E714" s="7">
        <v>10701</v>
      </c>
      <c r="F714" s="7">
        <v>755.49059999999997</v>
      </c>
      <c r="G714" s="4">
        <v>7.0599999999999996E-2</v>
      </c>
    </row>
    <row r="715" spans="1:7" x14ac:dyDescent="0.3">
      <c r="A715" s="1" t="s">
        <v>623</v>
      </c>
      <c r="B715" s="1" t="str">
        <f>VLOOKUP(C715,'Code ONU'!$C$1:$E$231,3,FALSE)</f>
        <v>Europe occidentale</v>
      </c>
      <c r="C715" s="1" t="s">
        <v>450</v>
      </c>
      <c r="D715" s="1">
        <v>2026</v>
      </c>
      <c r="E715" s="7">
        <v>69932</v>
      </c>
      <c r="F715" s="7">
        <v>11573.746000000001</v>
      </c>
      <c r="G715" s="4">
        <v>0.16550000000000001</v>
      </c>
    </row>
    <row r="716" spans="1:7" x14ac:dyDescent="0.3">
      <c r="A716" s="1" t="s">
        <v>475</v>
      </c>
      <c r="B716" s="1" t="str">
        <f>VLOOKUP(C716,'Code ONU'!$C$1:$E$231,3,FALSE)</f>
        <v>Europe centrale et orientale</v>
      </c>
      <c r="C716" s="1" t="s">
        <v>8</v>
      </c>
      <c r="D716" s="1">
        <v>2026</v>
      </c>
      <c r="E716" s="7">
        <v>2751</v>
      </c>
      <c r="F716" s="7">
        <v>28.610399999999998</v>
      </c>
      <c r="G716" s="4">
        <v>1.04E-2</v>
      </c>
    </row>
    <row r="717" spans="1:7" x14ac:dyDescent="0.3">
      <c r="A717" s="1" t="s">
        <v>478</v>
      </c>
      <c r="B717" s="1" t="str">
        <f>VLOOKUP(C717,'Code ONU'!$C$1:$E$231,3,FALSE)</f>
        <v>Europe occidentale</v>
      </c>
      <c r="C717" s="1" t="s">
        <v>17</v>
      </c>
      <c r="D717" s="1">
        <v>2026</v>
      </c>
      <c r="E717" s="7">
        <v>84</v>
      </c>
      <c r="F717" s="7">
        <v>58.900800000000004</v>
      </c>
      <c r="G717" s="4">
        <v>0.70120000000000005</v>
      </c>
    </row>
    <row r="718" spans="1:7" x14ac:dyDescent="0.3">
      <c r="A718" s="1" t="s">
        <v>493</v>
      </c>
      <c r="B718" s="1" t="str">
        <f>VLOOKUP(C718,'Code ONU'!$C$1:$E$231,3,FALSE)</f>
        <v>Europe centrale et orientale</v>
      </c>
      <c r="C718" s="1" t="s">
        <v>65</v>
      </c>
      <c r="D718" s="1">
        <v>2026</v>
      </c>
      <c r="E718" s="7">
        <v>3114</v>
      </c>
      <c r="F718" s="7">
        <v>23.666399999999999</v>
      </c>
      <c r="G718" s="4">
        <v>7.6E-3</v>
      </c>
    </row>
    <row r="719" spans="1:7" x14ac:dyDescent="0.3">
      <c r="A719" s="1" t="s">
        <v>511</v>
      </c>
      <c r="B719" s="1" t="str">
        <f>VLOOKUP(C719,'Code ONU'!$C$1:$E$231,3,FALSE)</f>
        <v>Europe centrale et orientale</v>
      </c>
      <c r="C719" s="1" t="s">
        <v>117</v>
      </c>
      <c r="D719" s="1">
        <v>2026</v>
      </c>
      <c r="E719" s="7">
        <v>3822</v>
      </c>
      <c r="F719" s="7">
        <v>69.560400000000001</v>
      </c>
      <c r="G719" s="4">
        <v>1.8200000000000001E-2</v>
      </c>
    </row>
    <row r="720" spans="1:7" x14ac:dyDescent="0.3">
      <c r="A720" s="1" t="s">
        <v>534</v>
      </c>
      <c r="B720" s="1" t="str">
        <f>VLOOKUP(C720,'Code ONU'!$C$1:$E$231,3,FALSE)</f>
        <v>Europe occidentale</v>
      </c>
      <c r="C720" s="1" t="s">
        <v>181</v>
      </c>
      <c r="D720" s="1">
        <v>2026</v>
      </c>
      <c r="E720" s="7">
        <v>9897</v>
      </c>
      <c r="F720" s="7">
        <v>602.72730000000001</v>
      </c>
      <c r="G720" s="4">
        <v>6.0900000000000003E-2</v>
      </c>
    </row>
    <row r="721" spans="1:7" x14ac:dyDescent="0.3">
      <c r="A721" s="1" t="s">
        <v>548</v>
      </c>
      <c r="B721" s="1" t="str">
        <f>VLOOKUP(C721,'Code ONU'!$C$1:$E$231,3,FALSE)</f>
        <v>Europe occidentale</v>
      </c>
      <c r="C721" s="1" t="s">
        <v>221</v>
      </c>
      <c r="D721" s="1">
        <v>2026</v>
      </c>
      <c r="E721" s="7">
        <v>58926</v>
      </c>
      <c r="F721" s="7">
        <v>12374.46</v>
      </c>
      <c r="G721" s="4">
        <v>0.21</v>
      </c>
    </row>
    <row r="722" spans="1:7" x14ac:dyDescent="0.3">
      <c r="A722" s="1" t="s">
        <v>234</v>
      </c>
      <c r="B722" s="1" t="str">
        <f>VLOOKUP(C722,'Code ONU'!$C$1:$E$231,3,FALSE)</f>
        <v>Europe centrale et orientale</v>
      </c>
      <c r="C722" s="1" t="s">
        <v>235</v>
      </c>
      <c r="D722" s="1">
        <v>2026</v>
      </c>
      <c r="E722" s="7">
        <v>1667</v>
      </c>
      <c r="F722" s="7">
        <v>23.5047</v>
      </c>
      <c r="G722" s="4">
        <v>1.41E-2</v>
      </c>
    </row>
    <row r="723" spans="1:7" x14ac:dyDescent="0.3">
      <c r="A723" s="1" t="s">
        <v>561</v>
      </c>
      <c r="B723" s="1" t="str">
        <f>VLOOKUP(C723,'Code ONU'!$C$1:$E$231,3,FALSE)</f>
        <v>Europe occidentale</v>
      </c>
      <c r="C723" s="1" t="s">
        <v>269</v>
      </c>
      <c r="D723" s="1">
        <v>2026</v>
      </c>
      <c r="E723" s="7">
        <v>549</v>
      </c>
      <c r="F723" s="7">
        <v>71.260199999999998</v>
      </c>
      <c r="G723" s="4">
        <v>0.1298</v>
      </c>
    </row>
    <row r="724" spans="1:7" x14ac:dyDescent="0.3">
      <c r="A724" s="1" t="s">
        <v>568</v>
      </c>
      <c r="B724" s="1" t="str">
        <f>VLOOKUP(C724,'Code ONU'!$C$1:$E$231,3,FALSE)</f>
        <v>Europe centrale et orientale</v>
      </c>
      <c r="C724" s="1" t="s">
        <v>289</v>
      </c>
      <c r="D724" s="1">
        <v>2026</v>
      </c>
      <c r="E724" s="7">
        <v>626</v>
      </c>
      <c r="F724" s="7">
        <v>12.833</v>
      </c>
      <c r="G724" s="4">
        <v>2.0500000000000001E-2</v>
      </c>
    </row>
    <row r="725" spans="1:7" x14ac:dyDescent="0.3">
      <c r="A725" s="1" t="s">
        <v>577</v>
      </c>
      <c r="B725" s="1" t="str">
        <f>VLOOKUP(C725,'Code ONU'!$C$1:$E$231,3,FALSE)</f>
        <v>Europe centrale et orientale</v>
      </c>
      <c r="C725" s="1" t="s">
        <v>319</v>
      </c>
      <c r="D725" s="1">
        <v>2026</v>
      </c>
      <c r="E725" s="7">
        <v>1804</v>
      </c>
      <c r="F725" s="7">
        <v>34.8172</v>
      </c>
      <c r="G725" s="4">
        <v>1.9300000000000001E-2</v>
      </c>
    </row>
    <row r="726" spans="1:7" x14ac:dyDescent="0.3">
      <c r="A726" s="1" t="s">
        <v>342</v>
      </c>
      <c r="B726" s="1" t="str">
        <f>VLOOKUP(C726,'Code ONU'!$C$1:$E$231,3,FALSE)</f>
        <v>Europe occidentale</v>
      </c>
      <c r="C726" s="1" t="s">
        <v>343</v>
      </c>
      <c r="D726" s="1">
        <v>2026</v>
      </c>
      <c r="E726" s="7">
        <v>10395</v>
      </c>
      <c r="F726" s="7">
        <v>2536.38</v>
      </c>
      <c r="G726" s="4">
        <v>0.24399999999999999</v>
      </c>
    </row>
    <row r="727" spans="1:7" x14ac:dyDescent="0.3">
      <c r="A727" s="1" t="s">
        <v>598</v>
      </c>
      <c r="B727" s="1" t="str">
        <f>VLOOKUP(C727,'Code ONU'!$C$1:$E$231,3,FALSE)</f>
        <v>Europe centrale et orientale</v>
      </c>
      <c r="C727" s="1" t="s">
        <v>382</v>
      </c>
      <c r="D727" s="1">
        <v>2026</v>
      </c>
      <c r="E727" s="7">
        <v>6642</v>
      </c>
      <c r="F727" s="7">
        <v>550.62180000000001</v>
      </c>
      <c r="G727" s="4">
        <v>8.2900000000000001E-2</v>
      </c>
    </row>
    <row r="728" spans="1:7" x14ac:dyDescent="0.3">
      <c r="A728" s="1" t="s">
        <v>602</v>
      </c>
      <c r="B728" s="1" t="str">
        <f>VLOOKUP(C728,'Code ONU'!$C$1:$E$231,3,FALSE)</f>
        <v>Europe centrale et orientale</v>
      </c>
      <c r="C728" s="1" t="s">
        <v>394</v>
      </c>
      <c r="D728" s="1">
        <v>2026</v>
      </c>
      <c r="E728" s="7">
        <v>2115</v>
      </c>
      <c r="F728" s="7">
        <v>86.292000000000002</v>
      </c>
      <c r="G728" s="4">
        <v>4.0800000000000003E-2</v>
      </c>
    </row>
    <row r="729" spans="1:7" x14ac:dyDescent="0.3">
      <c r="A729" s="1" t="s">
        <v>607</v>
      </c>
      <c r="B729" s="1" t="str">
        <f>VLOOKUP(C729,'Code ONU'!$C$1:$E$231,3,FALSE)</f>
        <v>Europe occidentale</v>
      </c>
      <c r="C729" s="1" t="s">
        <v>404</v>
      </c>
      <c r="D729" s="1">
        <v>2026</v>
      </c>
      <c r="E729" s="7">
        <v>47851</v>
      </c>
      <c r="F729" s="7">
        <v>5742.12</v>
      </c>
      <c r="G729" s="4">
        <v>0.12</v>
      </c>
    </row>
    <row r="730" spans="1:7" x14ac:dyDescent="0.3">
      <c r="A730" s="1" t="s">
        <v>483</v>
      </c>
      <c r="B730" s="1" t="str">
        <f>VLOOKUP(C730,'Code ONU'!$C$1:$E$231,3,FALSE)</f>
        <v>Europe occidentale</v>
      </c>
      <c r="C730" s="1" t="s">
        <v>38</v>
      </c>
      <c r="D730" s="1">
        <v>2026</v>
      </c>
      <c r="E730" s="7">
        <v>9107</v>
      </c>
      <c r="F730" s="7">
        <v>916.16419999999994</v>
      </c>
      <c r="G730" s="4">
        <v>0.10059999999999999</v>
      </c>
    </row>
    <row r="731" spans="1:7" x14ac:dyDescent="0.3">
      <c r="A731" s="1" t="s">
        <v>488</v>
      </c>
      <c r="B731" s="1" t="str">
        <f>VLOOKUP(C731,'Code ONU'!$C$1:$E$231,3,FALSE)</f>
        <v>Europe occidentale</v>
      </c>
      <c r="C731" s="1" t="s">
        <v>52</v>
      </c>
      <c r="D731" s="1">
        <v>2026</v>
      </c>
      <c r="E731" s="7">
        <v>11775</v>
      </c>
      <c r="F731" s="7">
        <v>9074.9925000000003</v>
      </c>
      <c r="G731" s="4">
        <v>0.77070000000000005</v>
      </c>
    </row>
    <row r="732" spans="1:7" x14ac:dyDescent="0.3">
      <c r="A732" s="1" t="s">
        <v>162</v>
      </c>
      <c r="B732" s="1" t="str">
        <f>VLOOKUP(C732,'Code ONU'!$C$1:$E$231,3,FALSE)</f>
        <v>Europe occidentale</v>
      </c>
      <c r="C732" s="1" t="s">
        <v>163</v>
      </c>
      <c r="D732" s="1">
        <v>2026</v>
      </c>
      <c r="E732" s="7">
        <v>66746</v>
      </c>
      <c r="F732" s="7">
        <v>64510.008999999998</v>
      </c>
      <c r="G732" s="4">
        <v>0.96650000000000003</v>
      </c>
    </row>
    <row r="733" spans="1:7" x14ac:dyDescent="0.3">
      <c r="A733" s="1" t="s">
        <v>533</v>
      </c>
      <c r="B733" s="1" t="str">
        <f>VLOOKUP(C733,'Code ONU'!$C$1:$E$231,3,FALSE)</f>
        <v>Europe occidentale</v>
      </c>
      <c r="C733" s="1" t="s">
        <v>175</v>
      </c>
      <c r="D733" s="1">
        <v>2026</v>
      </c>
      <c r="E733" s="7">
        <v>83644</v>
      </c>
      <c r="F733" s="7">
        <v>14453.683200000001</v>
      </c>
      <c r="G733" s="4">
        <v>0.17280000000000001</v>
      </c>
    </row>
    <row r="734" spans="1:7" x14ac:dyDescent="0.3">
      <c r="A734" s="1" t="s">
        <v>256</v>
      </c>
      <c r="B734" s="1" t="str">
        <f>VLOOKUP(C734,'Code ONU'!$C$1:$E$231,3,FALSE)</f>
        <v>Europe occidentale</v>
      </c>
      <c r="C734" s="1" t="s">
        <v>257</v>
      </c>
      <c r="D734" s="1">
        <v>2026</v>
      </c>
      <c r="E734" s="7">
        <v>687</v>
      </c>
      <c r="F734" s="7">
        <v>621.59760000000006</v>
      </c>
      <c r="G734" s="4">
        <v>0.90480000000000005</v>
      </c>
    </row>
    <row r="735" spans="1:7" x14ac:dyDescent="0.3">
      <c r="A735" s="1" t="s">
        <v>284</v>
      </c>
      <c r="B735" s="1" t="str">
        <f>VLOOKUP(C735,'Code ONU'!$C$1:$E$231,3,FALSE)</f>
        <v>Europe occidentale</v>
      </c>
      <c r="C735" s="1" t="s">
        <v>285</v>
      </c>
      <c r="D735" s="1">
        <v>2026</v>
      </c>
      <c r="E735" s="7">
        <v>38</v>
      </c>
      <c r="F735" s="7">
        <v>36.825800000000001</v>
      </c>
      <c r="G735" s="4">
        <v>0.96909999999999996</v>
      </c>
    </row>
    <row r="736" spans="1:7" x14ac:dyDescent="0.3">
      <c r="A736" s="1" t="s">
        <v>572</v>
      </c>
      <c r="B736" s="1" t="str">
        <f>VLOOKUP(C736,'Code ONU'!$C$1:$E$231,3,FALSE)</f>
        <v>Europe occidentale</v>
      </c>
      <c r="C736" s="1" t="s">
        <v>305</v>
      </c>
      <c r="D736" s="1">
        <v>2026</v>
      </c>
      <c r="E736" s="7">
        <v>18449</v>
      </c>
      <c r="F736" s="7">
        <v>5102.9934000000003</v>
      </c>
      <c r="G736" s="4">
        <v>0.27660000000000001</v>
      </c>
    </row>
    <row r="737" spans="1:7" x14ac:dyDescent="0.3">
      <c r="A737" s="1" t="s">
        <v>611</v>
      </c>
      <c r="B737" s="1" t="str">
        <f>VLOOKUP(C737,'Code ONU'!$C$1:$E$231,3,FALSE)</f>
        <v>Europe occidentale</v>
      </c>
      <c r="C737" s="1" t="s">
        <v>416</v>
      </c>
      <c r="D737" s="1">
        <v>2026</v>
      </c>
      <c r="E737" s="7">
        <v>9008</v>
      </c>
      <c r="F737" s="7">
        <v>6064.1855999999998</v>
      </c>
      <c r="G737" s="4">
        <v>0.67320000000000002</v>
      </c>
    </row>
    <row r="738" spans="1:7" x14ac:dyDescent="0.3">
      <c r="A738" s="1" t="s">
        <v>517</v>
      </c>
      <c r="B738" s="1" t="str">
        <f>VLOOKUP(C738,'Code ONU'!$C$1:$E$231,3,FALSE)</f>
        <v>Caraïbes</v>
      </c>
      <c r="C738" s="1" t="s">
        <v>135</v>
      </c>
      <c r="D738" s="1">
        <v>2026</v>
      </c>
      <c r="E738" s="7">
        <v>66</v>
      </c>
      <c r="F738" s="7">
        <v>6.3293999999999997</v>
      </c>
      <c r="G738" s="4">
        <v>9.5899999999999999E-2</v>
      </c>
    </row>
    <row r="739" spans="1:7" x14ac:dyDescent="0.3">
      <c r="A739" s="1" t="s">
        <v>518</v>
      </c>
      <c r="B739" s="1" t="str">
        <f>VLOOKUP(C739,'Code ONU'!$C$1:$E$231,3,FALSE)</f>
        <v>Caraïbes</v>
      </c>
      <c r="C739" s="1" t="s">
        <v>137</v>
      </c>
      <c r="D739" s="1">
        <v>2026</v>
      </c>
      <c r="E739" s="7">
        <v>11610</v>
      </c>
      <c r="F739" s="7">
        <v>167.184</v>
      </c>
      <c r="G739" s="4">
        <v>1.44E-2</v>
      </c>
    </row>
    <row r="740" spans="1:7" x14ac:dyDescent="0.3">
      <c r="A740" s="1" t="s">
        <v>186</v>
      </c>
      <c r="B740" s="1" t="str">
        <f>VLOOKUP(C740,'Code ONU'!$C$1:$E$231,3,FALSE)</f>
        <v>Caraïbes</v>
      </c>
      <c r="C740" s="1" t="s">
        <v>187</v>
      </c>
      <c r="D740" s="1">
        <v>2026</v>
      </c>
      <c r="E740" s="7">
        <v>372</v>
      </c>
      <c r="F740" s="7">
        <v>312.47999999999996</v>
      </c>
      <c r="G740" s="4">
        <v>0.84</v>
      </c>
    </row>
    <row r="741" spans="1:7" x14ac:dyDescent="0.3">
      <c r="A741" s="1" t="s">
        <v>539</v>
      </c>
      <c r="B741" s="1" t="str">
        <f>VLOOKUP(C741,'Code ONU'!$C$1:$E$231,3,FALSE)</f>
        <v>Caraïbes</v>
      </c>
      <c r="C741" s="1" t="s">
        <v>199</v>
      </c>
      <c r="D741" s="1">
        <v>2026</v>
      </c>
      <c r="E741" s="7">
        <v>12038</v>
      </c>
      <c r="F741" s="7">
        <v>5055.96</v>
      </c>
      <c r="G741" s="4">
        <v>0.42</v>
      </c>
    </row>
    <row r="742" spans="1:7" x14ac:dyDescent="0.3">
      <c r="A742" s="1" t="s">
        <v>272</v>
      </c>
      <c r="B742" s="1" t="str">
        <f>VLOOKUP(C742,'Code ONU'!$C$1:$E$231,3,FALSE)</f>
        <v>Caraïbes</v>
      </c>
      <c r="C742" s="1" t="s">
        <v>273</v>
      </c>
      <c r="D742" s="1">
        <v>2026</v>
      </c>
      <c r="E742" s="7">
        <v>338</v>
      </c>
      <c r="F742" s="7">
        <v>273.78000000000003</v>
      </c>
      <c r="G742" s="4">
        <v>0.81</v>
      </c>
    </row>
    <row r="743" spans="1:7" x14ac:dyDescent="0.3">
      <c r="A743" s="1" t="s">
        <v>584</v>
      </c>
      <c r="B743" s="1" t="str">
        <f>VLOOKUP(C743,'Code ONU'!$C$1:$E$231,3,FALSE)</f>
        <v>Caraïbes</v>
      </c>
      <c r="C743" s="1" t="s">
        <v>345</v>
      </c>
      <c r="D743" s="1">
        <v>2026</v>
      </c>
      <c r="E743" s="7">
        <v>3223</v>
      </c>
      <c r="F743" s="7">
        <v>2.5784000000000002</v>
      </c>
      <c r="G743" s="4">
        <v>8.0000000000000004E-4</v>
      </c>
    </row>
    <row r="744" spans="1:7" x14ac:dyDescent="0.3">
      <c r="A744" s="1" t="s">
        <v>588</v>
      </c>
      <c r="B744" s="1" t="str">
        <f>VLOOKUP(C744,'Code ONU'!$C$1:$E$231,3,FALSE)</f>
        <v>Caraïbes</v>
      </c>
      <c r="C744" s="1" t="s">
        <v>360</v>
      </c>
      <c r="D744" s="1">
        <v>2026</v>
      </c>
      <c r="E744" s="7">
        <v>12</v>
      </c>
      <c r="F744" s="7">
        <v>10.08</v>
      </c>
      <c r="G744" s="4">
        <v>0.84</v>
      </c>
    </row>
    <row r="745" spans="1:7" x14ac:dyDescent="0.3">
      <c r="A745" s="1" t="s">
        <v>591</v>
      </c>
      <c r="B745" s="1" t="str">
        <f>VLOOKUP(C745,'Code ONU'!$C$1:$E$231,3,FALSE)</f>
        <v>Caraïbes</v>
      </c>
      <c r="C745" s="1" t="s">
        <v>366</v>
      </c>
      <c r="D745" s="1">
        <v>2026</v>
      </c>
      <c r="E745" s="7">
        <v>180</v>
      </c>
      <c r="F745" s="7">
        <v>2.9159999999999999</v>
      </c>
      <c r="G745" s="4">
        <v>1.6199999999999999E-2</v>
      </c>
    </row>
    <row r="746" spans="1:7" x14ac:dyDescent="0.3">
      <c r="A746" s="1" t="s">
        <v>592</v>
      </c>
      <c r="B746" s="1" t="str">
        <f>VLOOKUP(C746,'Code ONU'!$C$1:$E$231,3,FALSE)</f>
        <v>Caraïbes</v>
      </c>
      <c r="C746" s="1" t="s">
        <v>368</v>
      </c>
      <c r="D746" s="1">
        <v>2026</v>
      </c>
      <c r="E746" s="7">
        <v>24</v>
      </c>
      <c r="F746" s="7">
        <v>20.16</v>
      </c>
      <c r="G746" s="4">
        <v>0.84</v>
      </c>
    </row>
    <row r="747" spans="1:7" x14ac:dyDescent="0.3">
      <c r="A747" s="1" t="s">
        <v>626</v>
      </c>
      <c r="B747" s="1" t="str">
        <f>VLOOKUP(C747,'Code ONU'!$C$1:$E$231,3,FALSE)</f>
        <v>Caraïbes</v>
      </c>
      <c r="C747" s="1" t="s">
        <v>456</v>
      </c>
      <c r="D747" s="1">
        <v>2026</v>
      </c>
      <c r="E747" s="7">
        <v>83</v>
      </c>
      <c r="F747" s="7">
        <v>7.3289</v>
      </c>
      <c r="G747" s="4">
        <v>8.8300000000000003E-2</v>
      </c>
    </row>
    <row r="748" spans="1:7" x14ac:dyDescent="0.3">
      <c r="A748" s="1" t="s">
        <v>112</v>
      </c>
      <c r="B748" s="1" t="str">
        <f>VLOOKUP(C748,'Code ONU'!$C$1:$E$231,3,FALSE)</f>
        <v>Amériques</v>
      </c>
      <c r="C748" s="1" t="s">
        <v>113</v>
      </c>
      <c r="D748" s="1">
        <v>2026</v>
      </c>
      <c r="E748" s="7">
        <v>5175</v>
      </c>
      <c r="F748" s="7">
        <v>5.1749999999999998</v>
      </c>
      <c r="G748" s="4">
        <v>1E-3</v>
      </c>
    </row>
    <row r="749" spans="1:7" x14ac:dyDescent="0.3">
      <c r="A749" s="1" t="s">
        <v>565</v>
      </c>
      <c r="B749" s="1" t="str">
        <f>VLOOKUP(C749,'Code ONU'!$C$1:$E$231,3,FALSE)</f>
        <v>Amériques</v>
      </c>
      <c r="C749" s="1" t="s">
        <v>281</v>
      </c>
      <c r="D749" s="1">
        <v>2026</v>
      </c>
      <c r="E749" s="7">
        <v>132998</v>
      </c>
      <c r="F749" s="7">
        <v>26.599600000000002</v>
      </c>
      <c r="G749" s="4">
        <v>2.0000000000000001E-4</v>
      </c>
    </row>
    <row r="750" spans="1:7" x14ac:dyDescent="0.3">
      <c r="A750" s="1" t="s">
        <v>507</v>
      </c>
      <c r="B750" s="1" t="str">
        <f>VLOOKUP(C750,'Code ONU'!$C$1:$E$231,3,FALSE)</f>
        <v>Amériques</v>
      </c>
      <c r="C750" s="1" t="s">
        <v>105</v>
      </c>
      <c r="D750" s="1">
        <v>2026</v>
      </c>
      <c r="E750" s="7">
        <v>53936</v>
      </c>
      <c r="F750" s="7">
        <v>5.3936000000000002</v>
      </c>
      <c r="G750" s="4">
        <v>1E-4</v>
      </c>
    </row>
    <row r="751" spans="1:7" x14ac:dyDescent="0.3">
      <c r="A751" s="1" t="s">
        <v>529</v>
      </c>
      <c r="B751" s="1" t="str">
        <f>VLOOKUP(C751,'Code ONU'!$C$1:$E$231,3,FALSE)</f>
        <v>Amériques</v>
      </c>
      <c r="C751" s="1" t="s">
        <v>165</v>
      </c>
      <c r="D751" s="1">
        <v>2026</v>
      </c>
      <c r="E751" s="7">
        <v>319</v>
      </c>
      <c r="F751" s="7">
        <v>197.78</v>
      </c>
      <c r="G751" s="4">
        <v>0.62</v>
      </c>
    </row>
    <row r="752" spans="1:7" x14ac:dyDescent="0.3">
      <c r="A752" s="1" t="s">
        <v>334</v>
      </c>
      <c r="B752" s="1" t="str">
        <f>VLOOKUP(C752,'Code ONU'!$C$1:$E$231,3,FALSE)</f>
        <v>Amériques</v>
      </c>
      <c r="C752" s="1" t="s">
        <v>335</v>
      </c>
      <c r="D752" s="1">
        <v>2026</v>
      </c>
      <c r="E752" s="7">
        <v>7095</v>
      </c>
      <c r="F752" s="7">
        <v>14.19</v>
      </c>
      <c r="G752" s="4">
        <v>2E-3</v>
      </c>
    </row>
    <row r="753" spans="1:7" x14ac:dyDescent="0.3">
      <c r="A753" s="1" t="s">
        <v>411</v>
      </c>
      <c r="B753" s="1" t="str">
        <f>VLOOKUP(C753,'Code ONU'!$C$1:$E$231,3,FALSE)</f>
        <v>Amériques</v>
      </c>
      <c r="C753" s="1" t="s">
        <v>412</v>
      </c>
      <c r="D753" s="1">
        <v>2026</v>
      </c>
      <c r="E753" s="7">
        <v>645</v>
      </c>
      <c r="F753" s="7">
        <v>1.0965</v>
      </c>
      <c r="G753" s="4">
        <v>1.6999999999999999E-3</v>
      </c>
    </row>
    <row r="754" spans="1:7" x14ac:dyDescent="0.3">
      <c r="A754" s="1" t="s">
        <v>457</v>
      </c>
      <c r="B754" s="1" t="str">
        <f>VLOOKUP(C754,'Code ONU'!$C$1:$E$231,3,FALSE)</f>
        <v>Amériques</v>
      </c>
      <c r="C754" s="1" t="s">
        <v>458</v>
      </c>
      <c r="D754" s="1">
        <v>2026</v>
      </c>
      <c r="E754" s="7">
        <v>3383</v>
      </c>
      <c r="F754" s="7">
        <v>5.0745000000000005</v>
      </c>
      <c r="G754" s="4">
        <v>1.5E-3</v>
      </c>
    </row>
    <row r="755" spans="1:7" x14ac:dyDescent="0.3">
      <c r="A755" s="1" t="s">
        <v>88</v>
      </c>
      <c r="B755" s="1" t="str">
        <f>VLOOKUP(C755,'Code ONU'!$C$1:$E$231,3,FALSE)</f>
        <v>Amériques</v>
      </c>
      <c r="C755" s="1" t="s">
        <v>89</v>
      </c>
      <c r="D755" s="1">
        <v>2026</v>
      </c>
      <c r="E755" s="7">
        <v>40468</v>
      </c>
      <c r="F755" s="7">
        <v>11076.0916</v>
      </c>
      <c r="G755" s="4">
        <v>0.2737</v>
      </c>
    </row>
    <row r="756" spans="1:7" x14ac:dyDescent="0.3">
      <c r="A756" s="1" t="s">
        <v>593</v>
      </c>
      <c r="B756" s="1" t="str">
        <f>VLOOKUP(C756,'Code ONU'!$C$1:$E$231,3,FALSE)</f>
        <v>Amériques</v>
      </c>
      <c r="C756" s="1" t="s">
        <v>370</v>
      </c>
      <c r="D756" s="1">
        <v>2026</v>
      </c>
      <c r="E756" s="7">
        <v>6</v>
      </c>
      <c r="F756" s="7">
        <v>6</v>
      </c>
      <c r="G756" s="4">
        <v>1</v>
      </c>
    </row>
    <row r="757" spans="1:7" x14ac:dyDescent="0.3">
      <c r="A757" s="1" t="s">
        <v>640</v>
      </c>
      <c r="B757" s="1" t="str">
        <f>VLOOKUP(C757,'Code ONU'!$C$1:$E$231,3,FALSE)</f>
        <v>Amériques</v>
      </c>
      <c r="C757" s="1" t="s">
        <v>454</v>
      </c>
      <c r="D757" s="1">
        <v>2026</v>
      </c>
      <c r="E757" s="7">
        <v>349035</v>
      </c>
      <c r="F757" s="7">
        <v>2233.8240000000001</v>
      </c>
      <c r="G757" s="4">
        <v>6.4000000000000003E-3</v>
      </c>
    </row>
    <row r="758" spans="1:7" x14ac:dyDescent="0.3">
      <c r="A758" s="1" t="s">
        <v>573</v>
      </c>
      <c r="B758" s="1" t="str">
        <f>VLOOKUP(C758,'Code ONU'!$C$1:$E$231,3,FALSE)</f>
        <v>Océanie</v>
      </c>
      <c r="C758" s="1" t="s">
        <v>307</v>
      </c>
      <c r="D758" s="1">
        <v>2026</v>
      </c>
      <c r="E758" s="7">
        <v>298</v>
      </c>
      <c r="F758" s="7">
        <v>294.72199999999998</v>
      </c>
      <c r="G758" s="4">
        <v>0.98899999999999999</v>
      </c>
    </row>
    <row r="759" spans="1:7" x14ac:dyDescent="0.3">
      <c r="A759" s="1" t="s">
        <v>461</v>
      </c>
      <c r="B759" s="1" t="str">
        <f>VLOOKUP(C759,'Code ONU'!$C$1:$E$231,3,FALSE)</f>
        <v>Océanie</v>
      </c>
      <c r="C759" s="1" t="s">
        <v>462</v>
      </c>
      <c r="D759" s="1">
        <v>2026</v>
      </c>
      <c r="E759" s="7">
        <v>343</v>
      </c>
      <c r="F759" s="7">
        <v>82.32</v>
      </c>
      <c r="G759" s="4">
        <v>0.24</v>
      </c>
    </row>
    <row r="760" spans="1:7" x14ac:dyDescent="0.3">
      <c r="A760" s="1" t="s">
        <v>530</v>
      </c>
      <c r="B760" s="1" t="str">
        <f>VLOOKUP(C760,'Code ONU'!$C$1:$E$231,3,FALSE)</f>
        <v>Océanie</v>
      </c>
      <c r="C760" s="1" t="s">
        <v>167</v>
      </c>
      <c r="D760" s="1">
        <v>2026</v>
      </c>
      <c r="E760" s="7">
        <v>283</v>
      </c>
      <c r="F760" s="7">
        <v>276.63249999999999</v>
      </c>
      <c r="G760" s="4">
        <v>0.97750000000000004</v>
      </c>
    </row>
    <row r="761" spans="1:7" x14ac:dyDescent="0.3">
      <c r="A761" s="1" t="s">
        <v>629</v>
      </c>
      <c r="B761" s="1" t="str">
        <f>VLOOKUP(C761,'Code ONU'!$C$1:$E$231,3,FALSE)</f>
        <v>Océanie</v>
      </c>
      <c r="C761" s="1" t="s">
        <v>468</v>
      </c>
      <c r="D761" s="1">
        <v>2026</v>
      </c>
      <c r="E761" s="7">
        <v>11</v>
      </c>
      <c r="F761" s="7">
        <v>9.7064000000000004</v>
      </c>
      <c r="G761" s="4">
        <v>0.88239999999999996</v>
      </c>
    </row>
    <row r="762" spans="1:7" x14ac:dyDescent="0.3">
      <c r="A762" s="1" t="s">
        <v>79</v>
      </c>
      <c r="B762" s="1" t="str">
        <f>VLOOKUP(C762,'Code ONU'!$C$1:$E$231,3,FALSE)</f>
        <v>Afrique de l'Est</v>
      </c>
      <c r="C762" s="1" t="s">
        <v>80</v>
      </c>
      <c r="D762" s="1">
        <v>2030</v>
      </c>
      <c r="E762" s="7">
        <v>16182</v>
      </c>
      <c r="F762" s="7">
        <v>1404.5976000000001</v>
      </c>
      <c r="G762" s="4">
        <v>8.6800000000000002E-2</v>
      </c>
    </row>
    <row r="763" spans="1:7" x14ac:dyDescent="0.3">
      <c r="A763" s="1" t="s">
        <v>508</v>
      </c>
      <c r="B763" s="1" t="str">
        <f>VLOOKUP(C763,'Code ONU'!$C$1:$E$231,3,FALSE)</f>
        <v>Afrique australe et Océan Indien</v>
      </c>
      <c r="C763" s="1" t="s">
        <v>107</v>
      </c>
      <c r="D763" s="1">
        <v>2030</v>
      </c>
      <c r="E763" s="7">
        <v>964</v>
      </c>
      <c r="F763" s="7">
        <v>363.71720000000005</v>
      </c>
      <c r="G763" s="4">
        <v>0.37730000000000002</v>
      </c>
    </row>
    <row r="764" spans="1:7" x14ac:dyDescent="0.3">
      <c r="A764" s="1" t="s">
        <v>132</v>
      </c>
      <c r="B764" s="1" t="str">
        <f>VLOOKUP(C764,'Code ONU'!$C$1:$E$231,3,FALSE)</f>
        <v>Afrique de l'Est</v>
      </c>
      <c r="C764" s="1" t="s">
        <v>133</v>
      </c>
      <c r="D764" s="1">
        <v>2030</v>
      </c>
      <c r="E764" s="7">
        <v>1263</v>
      </c>
      <c r="F764" s="7">
        <v>631.5</v>
      </c>
      <c r="G764" s="4">
        <v>0.5</v>
      </c>
    </row>
    <row r="765" spans="1:7" x14ac:dyDescent="0.3">
      <c r="A765" s="1" t="s">
        <v>258</v>
      </c>
      <c r="B765" s="1" t="str">
        <f>VLOOKUP(C765,'Code ONU'!$C$1:$E$231,3,FALSE)</f>
        <v>Afrique australe et Océan Indien</v>
      </c>
      <c r="C765" s="1" t="s">
        <v>259</v>
      </c>
      <c r="D765" s="1">
        <v>2030</v>
      </c>
      <c r="E765" s="7">
        <v>36693</v>
      </c>
      <c r="F765" s="7">
        <v>9756.6687000000002</v>
      </c>
      <c r="G765" s="4">
        <v>0.26590000000000003</v>
      </c>
    </row>
    <row r="766" spans="1:7" x14ac:dyDescent="0.3">
      <c r="A766" s="1" t="s">
        <v>564</v>
      </c>
      <c r="B766" s="1" t="str">
        <f>VLOOKUP(C766,'Code ONU'!$C$1:$E$231,3,FALSE)</f>
        <v>Afrique australe et Océan Indien</v>
      </c>
      <c r="C766" s="1" t="s">
        <v>277</v>
      </c>
      <c r="D766" s="1">
        <v>2030</v>
      </c>
      <c r="E766" s="7">
        <v>1250</v>
      </c>
      <c r="F766" s="7">
        <v>908.125</v>
      </c>
      <c r="G766" s="4">
        <v>0.72650000000000003</v>
      </c>
    </row>
    <row r="767" spans="1:7" x14ac:dyDescent="0.3">
      <c r="A767" s="1" t="s">
        <v>278</v>
      </c>
      <c r="B767" s="1" t="str">
        <f>VLOOKUP(C767,'Code ONU'!$C$1:$E$231,3,FALSE)</f>
        <v>Afrique australe et Océan Indien</v>
      </c>
      <c r="C767" s="1" t="s">
        <v>279</v>
      </c>
      <c r="D767" s="1">
        <v>2030</v>
      </c>
      <c r="E767" s="7">
        <v>391</v>
      </c>
      <c r="F767" s="7">
        <v>246.33</v>
      </c>
      <c r="G767" s="4">
        <v>0.63</v>
      </c>
    </row>
    <row r="768" spans="1:7" x14ac:dyDescent="0.3">
      <c r="A768" s="1" t="s">
        <v>294</v>
      </c>
      <c r="B768" s="1" t="str">
        <f>VLOOKUP(C768,'Code ONU'!$C$1:$E$231,3,FALSE)</f>
        <v>Afrique de l'Est</v>
      </c>
      <c r="C768" s="1" t="s">
        <v>295</v>
      </c>
      <c r="D768" s="1">
        <v>2030</v>
      </c>
      <c r="E768" s="7">
        <v>40847</v>
      </c>
      <c r="F768" s="7">
        <v>122.541</v>
      </c>
      <c r="G768" s="4">
        <v>3.0000000000000001E-3</v>
      </c>
    </row>
    <row r="769" spans="1:7" x14ac:dyDescent="0.3">
      <c r="A769" s="1" t="s">
        <v>351</v>
      </c>
      <c r="B769" s="1" t="str">
        <f>VLOOKUP(C769,'Code ONU'!$C$1:$E$231,3,FALSE)</f>
        <v>Afrique australe et Océan Indien</v>
      </c>
      <c r="C769" s="1" t="s">
        <v>352</v>
      </c>
      <c r="D769" s="1">
        <v>2030</v>
      </c>
      <c r="E769" s="7">
        <v>901</v>
      </c>
      <c r="F769" s="7">
        <v>792.88</v>
      </c>
      <c r="G769" s="4">
        <v>0.88</v>
      </c>
    </row>
    <row r="770" spans="1:7" x14ac:dyDescent="0.3">
      <c r="A770" s="1" t="s">
        <v>357</v>
      </c>
      <c r="B770" s="1" t="str">
        <f>VLOOKUP(C770,'Code ONU'!$C$1:$E$231,3,FALSE)</f>
        <v>Afrique de l'Est</v>
      </c>
      <c r="C770" s="1" t="s">
        <v>358</v>
      </c>
      <c r="D770" s="1">
        <v>2030</v>
      </c>
      <c r="E770" s="7">
        <v>16155</v>
      </c>
      <c r="F770" s="7">
        <v>830.36700000000008</v>
      </c>
      <c r="G770" s="4">
        <v>5.1400000000000001E-2</v>
      </c>
    </row>
    <row r="771" spans="1:7" x14ac:dyDescent="0.3">
      <c r="A771" s="1" t="s">
        <v>383</v>
      </c>
      <c r="B771" s="1" t="str">
        <f>VLOOKUP(C771,'Code ONU'!$C$1:$E$231,3,FALSE)</f>
        <v>Afrique australe et Océan Indien</v>
      </c>
      <c r="C771" s="1" t="s">
        <v>384</v>
      </c>
      <c r="D771" s="1">
        <v>2030</v>
      </c>
      <c r="E771" s="7">
        <v>140</v>
      </c>
      <c r="F771" s="7">
        <v>74.2</v>
      </c>
      <c r="G771" s="4">
        <v>0.53</v>
      </c>
    </row>
    <row r="772" spans="1:7" x14ac:dyDescent="0.3">
      <c r="A772" s="1" t="s">
        <v>499</v>
      </c>
      <c r="B772" s="1" t="str">
        <f>VLOOKUP(C772,'Code ONU'!$C$1:$E$231,3,FALSE)</f>
        <v>Afrique centrale</v>
      </c>
      <c r="C772" s="1" t="s">
        <v>87</v>
      </c>
      <c r="D772" s="1">
        <v>2030</v>
      </c>
      <c r="E772" s="7">
        <v>33777</v>
      </c>
      <c r="F772" s="7">
        <v>13868.836200000002</v>
      </c>
      <c r="G772" s="4">
        <v>0.41060000000000002</v>
      </c>
    </row>
    <row r="773" spans="1:7" x14ac:dyDescent="0.3">
      <c r="A773" s="1" t="s">
        <v>501</v>
      </c>
      <c r="B773" s="1" t="str">
        <f>VLOOKUP(C773,'Code ONU'!$C$1:$E$231,3,FALSE)</f>
        <v>Afrique centrale</v>
      </c>
      <c r="C773" s="1" t="s">
        <v>93</v>
      </c>
      <c r="D773" s="1">
        <v>2030</v>
      </c>
      <c r="E773" s="7">
        <v>6478</v>
      </c>
      <c r="F773" s="7">
        <v>1579.9842000000001</v>
      </c>
      <c r="G773" s="4">
        <v>0.24390000000000001</v>
      </c>
    </row>
    <row r="774" spans="1:7" x14ac:dyDescent="0.3">
      <c r="A774" s="1" t="s">
        <v>502</v>
      </c>
      <c r="B774" s="1" t="str">
        <f>VLOOKUP(C774,'Code ONU'!$C$1:$E$231,3,FALSE)</f>
        <v>Afrique centrale</v>
      </c>
      <c r="C774" s="1" t="s">
        <v>95</v>
      </c>
      <c r="D774" s="1">
        <v>2030</v>
      </c>
      <c r="E774" s="7">
        <v>24207</v>
      </c>
      <c r="F774" s="7">
        <v>3103.3374000000003</v>
      </c>
      <c r="G774" s="4">
        <v>0.12820000000000001</v>
      </c>
    </row>
    <row r="775" spans="1:7" x14ac:dyDescent="0.3">
      <c r="A775" s="1" t="s">
        <v>108</v>
      </c>
      <c r="B775" s="1" t="str">
        <f>VLOOKUP(C775,'Code ONU'!$C$1:$E$231,3,FALSE)</f>
        <v>Afrique centrale</v>
      </c>
      <c r="C775" s="1" t="s">
        <v>109</v>
      </c>
      <c r="D775" s="1">
        <v>2030</v>
      </c>
      <c r="E775" s="7">
        <v>7282</v>
      </c>
      <c r="F775" s="7">
        <v>4471.1480000000001</v>
      </c>
      <c r="G775" s="4">
        <v>0.61399999999999999</v>
      </c>
    </row>
    <row r="776" spans="1:7" x14ac:dyDescent="0.3">
      <c r="A776" s="1" t="s">
        <v>515</v>
      </c>
      <c r="B776" s="1" t="str">
        <f>VLOOKUP(C776,'Code ONU'!$C$1:$E$231,3,FALSE)</f>
        <v>Afrique centrale</v>
      </c>
      <c r="C776" s="1" t="s">
        <v>129</v>
      </c>
      <c r="D776" s="1">
        <v>2030</v>
      </c>
      <c r="E776" s="7">
        <v>131532</v>
      </c>
      <c r="F776" s="7">
        <v>66673.570800000001</v>
      </c>
      <c r="G776" s="4">
        <v>0.50690000000000002</v>
      </c>
    </row>
    <row r="777" spans="1:7" x14ac:dyDescent="0.3">
      <c r="A777" s="1" t="s">
        <v>521</v>
      </c>
      <c r="B777" s="1" t="str">
        <f>VLOOKUP(C777,'Code ONU'!$C$1:$E$231,3,FALSE)</f>
        <v>Afrique centrale</v>
      </c>
      <c r="C777" s="1" t="s">
        <v>145</v>
      </c>
      <c r="D777" s="1">
        <v>2030</v>
      </c>
      <c r="E777" s="7">
        <v>2170</v>
      </c>
      <c r="F777" s="7">
        <v>627.34700000000009</v>
      </c>
      <c r="G777" s="4">
        <v>0.28910000000000002</v>
      </c>
    </row>
    <row r="778" spans="1:7" x14ac:dyDescent="0.3">
      <c r="A778" s="1" t="s">
        <v>168</v>
      </c>
      <c r="B778" s="1" t="str">
        <f>VLOOKUP(C778,'Code ONU'!$C$1:$E$231,3,FALSE)</f>
        <v>Afrique centrale</v>
      </c>
      <c r="C778" s="1" t="s">
        <v>169</v>
      </c>
      <c r="D778" s="1">
        <v>2030</v>
      </c>
      <c r="E778" s="7">
        <v>2867</v>
      </c>
      <c r="F778" s="7">
        <v>1900.8210000000001</v>
      </c>
      <c r="G778" s="4">
        <v>0.66300000000000003</v>
      </c>
    </row>
    <row r="779" spans="1:7" x14ac:dyDescent="0.3">
      <c r="A779" s="1" t="s">
        <v>595</v>
      </c>
      <c r="B779" s="1" t="str">
        <f>VLOOKUP(C779,'Code ONU'!$C$1:$E$231,3,FALSE)</f>
        <v>Afrique centrale</v>
      </c>
      <c r="C779" s="1" t="s">
        <v>376</v>
      </c>
      <c r="D779" s="1">
        <v>2030</v>
      </c>
      <c r="E779" s="7">
        <v>265</v>
      </c>
      <c r="F779" s="7">
        <v>53.53</v>
      </c>
      <c r="G779" s="4">
        <v>0.20200000000000001</v>
      </c>
    </row>
    <row r="780" spans="1:7" x14ac:dyDescent="0.3">
      <c r="A780" s="1" t="s">
        <v>476</v>
      </c>
      <c r="B780" s="1" t="str">
        <f>VLOOKUP(C780,'Code ONU'!$C$1:$E$231,3,FALSE)</f>
        <v>Afrique du Nord</v>
      </c>
      <c r="C780" s="1" t="s">
        <v>11</v>
      </c>
      <c r="D780" s="1">
        <v>2030</v>
      </c>
      <c r="E780" s="7">
        <v>50154</v>
      </c>
      <c r="F780" s="7">
        <v>16480.6044</v>
      </c>
      <c r="G780" s="4">
        <v>0.3286</v>
      </c>
    </row>
    <row r="781" spans="1:7" x14ac:dyDescent="0.3">
      <c r="A781" s="1" t="s">
        <v>520</v>
      </c>
      <c r="B781" s="1" t="str">
        <f>VLOOKUP(C781,'Code ONU'!$C$1:$E$231,3,FALSE)</f>
        <v>Afrique du Nord</v>
      </c>
      <c r="C781" s="1" t="s">
        <v>141</v>
      </c>
      <c r="D781" s="1">
        <v>2030</v>
      </c>
      <c r="E781" s="7">
        <v>127139</v>
      </c>
      <c r="F781" s="7">
        <v>3839.5978</v>
      </c>
      <c r="G781" s="4">
        <v>3.0200000000000001E-2</v>
      </c>
    </row>
    <row r="782" spans="1:7" x14ac:dyDescent="0.3">
      <c r="A782" s="1" t="s">
        <v>569</v>
      </c>
      <c r="B782" s="1" t="str">
        <f>VLOOKUP(C782,'Code ONU'!$C$1:$E$231,3,FALSE)</f>
        <v>Afrique du Nord</v>
      </c>
      <c r="C782" s="1" t="s">
        <v>293</v>
      </c>
      <c r="D782" s="1">
        <v>2030</v>
      </c>
      <c r="E782" s="7">
        <v>39953</v>
      </c>
      <c r="F782" s="7">
        <v>14462.985999999999</v>
      </c>
      <c r="G782" s="4">
        <v>0.36199999999999999</v>
      </c>
    </row>
    <row r="783" spans="1:7" x14ac:dyDescent="0.3">
      <c r="A783" s="1" t="s">
        <v>617</v>
      </c>
      <c r="B783" s="1" t="str">
        <f>VLOOKUP(C783,'Code ONU'!$C$1:$E$231,3,FALSE)</f>
        <v>Afrique du Nord</v>
      </c>
      <c r="C783" s="1" t="s">
        <v>434</v>
      </c>
      <c r="D783" s="1">
        <v>2030</v>
      </c>
      <c r="E783" s="7">
        <v>12628</v>
      </c>
      <c r="F783" s="7">
        <v>6706.7308000000003</v>
      </c>
      <c r="G783" s="4">
        <v>0.53110000000000002</v>
      </c>
    </row>
    <row r="784" spans="1:7" x14ac:dyDescent="0.3">
      <c r="A784" s="1" t="s">
        <v>489</v>
      </c>
      <c r="B784" s="1" t="str">
        <f>VLOOKUP(C784,'Code ONU'!$C$1:$E$231,3,FALSE)</f>
        <v>Afrique de l'Ouest</v>
      </c>
      <c r="C784" s="1" t="s">
        <v>56</v>
      </c>
      <c r="D784" s="1">
        <v>2030</v>
      </c>
      <c r="E784" s="7">
        <v>16619</v>
      </c>
      <c r="F784" s="7">
        <v>5600.6030000000001</v>
      </c>
      <c r="G784" s="4">
        <v>0.33700000000000002</v>
      </c>
    </row>
    <row r="785" spans="1:7" x14ac:dyDescent="0.3">
      <c r="A785" s="1" t="s">
        <v>77</v>
      </c>
      <c r="B785" s="1" t="str">
        <f>VLOOKUP(C785,'Code ONU'!$C$1:$E$231,3,FALSE)</f>
        <v>Afrique de l'Ouest</v>
      </c>
      <c r="C785" s="1" t="s">
        <v>78</v>
      </c>
      <c r="D785" s="1">
        <v>2030</v>
      </c>
      <c r="E785" s="7">
        <v>26730</v>
      </c>
      <c r="F785" s="7">
        <v>6105.1319999999996</v>
      </c>
      <c r="G785" s="4">
        <v>0.22839999999999999</v>
      </c>
    </row>
    <row r="786" spans="1:7" x14ac:dyDescent="0.3">
      <c r="A786" s="1" t="s">
        <v>82</v>
      </c>
      <c r="B786" s="1" t="str">
        <f>VLOOKUP(C786,'Code ONU'!$C$1:$E$231,3,FALSE)</f>
        <v>Afrique de l'Ouest</v>
      </c>
      <c r="C786" s="1" t="s">
        <v>83</v>
      </c>
      <c r="D786" s="1">
        <v>2030</v>
      </c>
      <c r="E786" s="7">
        <v>539</v>
      </c>
      <c r="F786" s="7">
        <v>58.373699999999999</v>
      </c>
      <c r="G786" s="4">
        <v>0.10829999999999999</v>
      </c>
    </row>
    <row r="787" spans="1:7" x14ac:dyDescent="0.3">
      <c r="A787" s="1" t="s">
        <v>510</v>
      </c>
      <c r="B787" s="1" t="str">
        <f>VLOOKUP(C787,'Code ONU'!$C$1:$E$231,3,FALSE)</f>
        <v>Afrique de l'Ouest</v>
      </c>
      <c r="C787" s="1" t="s">
        <v>115</v>
      </c>
      <c r="D787" s="1">
        <v>2030</v>
      </c>
      <c r="E787" s="7">
        <v>36699</v>
      </c>
      <c r="F787" s="7">
        <v>13365.775800000001</v>
      </c>
      <c r="G787" s="4">
        <v>0.36420000000000002</v>
      </c>
    </row>
    <row r="788" spans="1:7" x14ac:dyDescent="0.3">
      <c r="A788" s="1" t="s">
        <v>531</v>
      </c>
      <c r="B788" s="1" t="str">
        <f>VLOOKUP(C788,'Code ONU'!$C$1:$E$231,3,FALSE)</f>
        <v>Afrique de l'Ouest</v>
      </c>
      <c r="C788" s="1" t="s">
        <v>171</v>
      </c>
      <c r="D788" s="1">
        <v>2030</v>
      </c>
      <c r="E788" s="7">
        <v>3130</v>
      </c>
      <c r="F788" s="7">
        <v>626</v>
      </c>
      <c r="G788" s="4">
        <v>0.2</v>
      </c>
    </row>
    <row r="789" spans="1:7" x14ac:dyDescent="0.3">
      <c r="A789" s="1" t="s">
        <v>176</v>
      </c>
      <c r="B789" s="1" t="str">
        <f>VLOOKUP(C789,'Code ONU'!$C$1:$E$231,3,FALSE)</f>
        <v>Afrique de l'Ouest</v>
      </c>
      <c r="C789" s="1" t="s">
        <v>177</v>
      </c>
      <c r="D789" s="1">
        <v>2030</v>
      </c>
      <c r="E789" s="7">
        <v>38222</v>
      </c>
      <c r="F789" s="7">
        <v>703.28480000000002</v>
      </c>
      <c r="G789" s="4">
        <v>1.84E-2</v>
      </c>
    </row>
    <row r="790" spans="1:7" x14ac:dyDescent="0.3">
      <c r="A790" s="1" t="s">
        <v>537</v>
      </c>
      <c r="B790" s="1" t="str">
        <f>VLOOKUP(C790,'Code ONU'!$C$1:$E$231,3,FALSE)</f>
        <v>Afrique de l'Ouest</v>
      </c>
      <c r="C790" s="1" t="s">
        <v>193</v>
      </c>
      <c r="D790" s="1">
        <v>2030</v>
      </c>
      <c r="E790" s="7">
        <v>16807</v>
      </c>
      <c r="F790" s="7">
        <v>4677.3881000000001</v>
      </c>
      <c r="G790" s="4">
        <v>0.27829999999999999</v>
      </c>
    </row>
    <row r="791" spans="1:7" x14ac:dyDescent="0.3">
      <c r="A791" s="1" t="s">
        <v>538</v>
      </c>
      <c r="B791" s="1" t="str">
        <f>VLOOKUP(C791,'Code ONU'!$C$1:$E$231,3,FALSE)</f>
        <v>Afrique de l'Ouest</v>
      </c>
      <c r="C791" s="1" t="s">
        <v>195</v>
      </c>
      <c r="D791" s="1">
        <v>2030</v>
      </c>
      <c r="E791" s="7">
        <v>2489</v>
      </c>
      <c r="F791" s="7">
        <v>382.8082</v>
      </c>
      <c r="G791" s="4">
        <v>0.15379999999999999</v>
      </c>
    </row>
    <row r="792" spans="1:7" x14ac:dyDescent="0.3">
      <c r="A792" s="1" t="s">
        <v>266</v>
      </c>
      <c r="B792" s="1" t="str">
        <f>VLOOKUP(C792,'Code ONU'!$C$1:$E$231,3,FALSE)</f>
        <v>Afrique de l'Ouest</v>
      </c>
      <c r="C792" s="1" t="s">
        <v>267</v>
      </c>
      <c r="D792" s="1">
        <v>2030</v>
      </c>
      <c r="E792" s="7">
        <v>29003</v>
      </c>
      <c r="F792" s="7">
        <v>5786.0985000000001</v>
      </c>
      <c r="G792" s="4">
        <v>0.19950000000000001</v>
      </c>
    </row>
    <row r="793" spans="1:7" x14ac:dyDescent="0.3">
      <c r="A793" s="1" t="s">
        <v>563</v>
      </c>
      <c r="B793" s="1" t="str">
        <f>VLOOKUP(C793,'Code ONU'!$C$1:$E$231,3,FALSE)</f>
        <v>Afrique du Nord</v>
      </c>
      <c r="C793" s="1" t="s">
        <v>275</v>
      </c>
      <c r="D793" s="1">
        <v>2030</v>
      </c>
      <c r="E793" s="7">
        <v>6063</v>
      </c>
      <c r="F793" s="7">
        <v>785.76479999999992</v>
      </c>
      <c r="G793" s="4">
        <v>0.12959999999999999</v>
      </c>
    </row>
    <row r="794" spans="1:7" x14ac:dyDescent="0.3">
      <c r="A794" s="1" t="s">
        <v>312</v>
      </c>
      <c r="B794" s="1" t="str">
        <f>VLOOKUP(C794,'Code ONU'!$C$1:$E$231,3,FALSE)</f>
        <v>Afrique de l'Ouest</v>
      </c>
      <c r="C794" s="1" t="s">
        <v>313</v>
      </c>
      <c r="D794" s="1">
        <v>2030</v>
      </c>
      <c r="E794" s="7">
        <v>32518</v>
      </c>
      <c r="F794" s="7">
        <v>4373.6710000000003</v>
      </c>
      <c r="G794" s="4">
        <v>0.13450000000000001</v>
      </c>
    </row>
    <row r="795" spans="1:7" x14ac:dyDescent="0.3">
      <c r="A795" s="1" t="s">
        <v>597</v>
      </c>
      <c r="B795" s="1" t="str">
        <f>VLOOKUP(C795,'Code ONU'!$C$1:$E$231,3,FALSE)</f>
        <v>Afrique de l'Ouest</v>
      </c>
      <c r="C795" s="1" t="s">
        <v>380</v>
      </c>
      <c r="D795" s="1">
        <v>2030</v>
      </c>
      <c r="E795" s="7">
        <v>21163</v>
      </c>
      <c r="F795" s="7">
        <v>5868.4998999999998</v>
      </c>
      <c r="G795" s="4">
        <v>0.27729999999999999</v>
      </c>
    </row>
    <row r="796" spans="1:7" x14ac:dyDescent="0.3">
      <c r="A796" s="1" t="s">
        <v>425</v>
      </c>
      <c r="B796" s="1" t="str">
        <f>VLOOKUP(C796,'Code ONU'!$C$1:$E$231,3,FALSE)</f>
        <v>Afrique de l'Ouest</v>
      </c>
      <c r="C796" s="1" t="s">
        <v>426</v>
      </c>
      <c r="D796" s="1">
        <v>2030</v>
      </c>
      <c r="E796" s="7">
        <v>10793</v>
      </c>
      <c r="F796" s="7">
        <v>4438.0816000000004</v>
      </c>
      <c r="G796" s="4">
        <v>0.41120000000000001</v>
      </c>
    </row>
    <row r="797" spans="1:7" x14ac:dyDescent="0.3">
      <c r="A797" s="1" t="s">
        <v>550</v>
      </c>
      <c r="B797" s="1" t="str">
        <f>VLOOKUP(C797,'Code ONU'!$C$1:$E$231,3,FALSE)</f>
        <v>Asie</v>
      </c>
      <c r="C797" s="1" t="s">
        <v>225</v>
      </c>
      <c r="D797" s="1">
        <v>2030</v>
      </c>
      <c r="E797" s="7">
        <v>119584</v>
      </c>
      <c r="F797" s="7">
        <v>23.916800000000002</v>
      </c>
      <c r="G797" s="4">
        <v>2.0000000000000001E-4</v>
      </c>
    </row>
    <row r="798" spans="1:7" x14ac:dyDescent="0.3">
      <c r="A798" s="1" t="s">
        <v>498</v>
      </c>
      <c r="B798" s="1" t="str">
        <f>VLOOKUP(C798,'Code ONU'!$C$1:$E$231,3,FALSE)</f>
        <v>Asie</v>
      </c>
      <c r="C798" s="1" t="s">
        <v>85</v>
      </c>
      <c r="D798" s="1">
        <v>2030</v>
      </c>
      <c r="E798" s="7">
        <v>18827</v>
      </c>
      <c r="F798" s="7">
        <v>30.123200000000001</v>
      </c>
      <c r="G798" s="4">
        <v>1.6000000000000001E-3</v>
      </c>
    </row>
    <row r="799" spans="1:7" x14ac:dyDescent="0.3">
      <c r="A799" s="1" t="s">
        <v>554</v>
      </c>
      <c r="B799" s="1" t="str">
        <f>VLOOKUP(C799,'Code ONU'!$C$1:$E$231,3,FALSE)</f>
        <v>Asie</v>
      </c>
      <c r="C799" s="1" t="s">
        <v>241</v>
      </c>
      <c r="D799" s="1">
        <v>2030</v>
      </c>
      <c r="E799" s="7">
        <v>8357</v>
      </c>
      <c r="F799" s="7">
        <v>228.14610000000002</v>
      </c>
      <c r="G799" s="4">
        <v>2.7300000000000001E-2</v>
      </c>
    </row>
    <row r="800" spans="1:7" x14ac:dyDescent="0.3">
      <c r="A800" s="1" t="s">
        <v>614</v>
      </c>
      <c r="B800" s="1" t="str">
        <f>VLOOKUP(C800,'Code ONU'!$C$1:$E$231,3,FALSE)</f>
        <v>Asie</v>
      </c>
      <c r="C800" s="1" t="s">
        <v>422</v>
      </c>
      <c r="D800" s="1">
        <v>2030</v>
      </c>
      <c r="E800" s="7">
        <v>71215</v>
      </c>
      <c r="F800" s="7">
        <v>583.96300000000008</v>
      </c>
      <c r="G800" s="4">
        <v>8.2000000000000007E-3</v>
      </c>
    </row>
    <row r="801" spans="1:7" x14ac:dyDescent="0.3">
      <c r="A801" s="1" t="s">
        <v>465</v>
      </c>
      <c r="B801" s="1" t="str">
        <f>VLOOKUP(C801,'Code ONU'!$C$1:$E$231,3,FALSE)</f>
        <v>Asie</v>
      </c>
      <c r="C801" s="1" t="s">
        <v>466</v>
      </c>
      <c r="D801" s="1">
        <v>2030</v>
      </c>
      <c r="E801" s="7">
        <v>104255</v>
      </c>
      <c r="F801" s="7">
        <v>729.78499999999997</v>
      </c>
      <c r="G801" s="4">
        <v>7.0000000000000001E-3</v>
      </c>
    </row>
    <row r="802" spans="1:7" x14ac:dyDescent="0.3">
      <c r="A802" s="1" t="s">
        <v>481</v>
      </c>
      <c r="B802" s="1" t="str">
        <f>VLOOKUP(C802,'Code ONU'!$C$1:$E$231,3,FALSE)</f>
        <v>Moyen-Orient</v>
      </c>
      <c r="C802" s="1" t="s">
        <v>31</v>
      </c>
      <c r="D802" s="1">
        <v>2030</v>
      </c>
      <c r="E802" s="7">
        <v>2851</v>
      </c>
      <c r="F802" s="7">
        <v>4.5616000000000003</v>
      </c>
      <c r="G802" s="4">
        <v>1.6000000000000001E-3</v>
      </c>
    </row>
    <row r="803" spans="1:7" x14ac:dyDescent="0.3">
      <c r="A803" s="1" t="s">
        <v>512</v>
      </c>
      <c r="B803" s="1" t="str">
        <f>VLOOKUP(C803,'Code ONU'!$C$1:$E$231,3,FALSE)</f>
        <v>Moyen-Orient</v>
      </c>
      <c r="C803" s="1" t="s">
        <v>123</v>
      </c>
      <c r="D803" s="1">
        <v>2030</v>
      </c>
      <c r="E803" s="7">
        <v>1422</v>
      </c>
      <c r="F803" s="7">
        <v>114.3288</v>
      </c>
      <c r="G803" s="4">
        <v>8.0399999999999999E-2</v>
      </c>
    </row>
    <row r="804" spans="1:7" x14ac:dyDescent="0.3">
      <c r="A804" s="1" t="s">
        <v>532</v>
      </c>
      <c r="B804" s="1" t="str">
        <f>VLOOKUP(C804,'Code ONU'!$C$1:$E$231,3,FALSE)</f>
        <v>Moyen-Orient</v>
      </c>
      <c r="C804" s="1" t="s">
        <v>173</v>
      </c>
      <c r="D804" s="1">
        <v>2030</v>
      </c>
      <c r="E804" s="7">
        <v>3791</v>
      </c>
      <c r="F804" s="7">
        <v>15.922199999999998</v>
      </c>
      <c r="G804" s="4">
        <v>4.1999999999999997E-3</v>
      </c>
    </row>
    <row r="805" spans="1:7" x14ac:dyDescent="0.3">
      <c r="A805" s="1" t="s">
        <v>547</v>
      </c>
      <c r="B805" s="1" t="str">
        <f>VLOOKUP(C805,'Code ONU'!$C$1:$E$231,3,FALSE)</f>
        <v>Moyen-Orient</v>
      </c>
      <c r="C805" s="1" t="s">
        <v>219</v>
      </c>
      <c r="D805" s="1">
        <v>2030</v>
      </c>
      <c r="E805" s="7">
        <v>10176</v>
      </c>
      <c r="F805" s="7">
        <v>602.41920000000005</v>
      </c>
      <c r="G805" s="4">
        <v>5.9200000000000003E-2</v>
      </c>
    </row>
    <row r="806" spans="1:7" x14ac:dyDescent="0.3">
      <c r="A806" s="1" t="s">
        <v>556</v>
      </c>
      <c r="B806" s="1" t="str">
        <f>VLOOKUP(C806,'Code ONU'!$C$1:$E$231,3,FALSE)</f>
        <v>Moyen-Orient</v>
      </c>
      <c r="C806" s="1" t="s">
        <v>245</v>
      </c>
      <c r="D806" s="1">
        <v>2030</v>
      </c>
      <c r="E806" s="7">
        <v>6104</v>
      </c>
      <c r="F806" s="7">
        <v>2318.9096</v>
      </c>
      <c r="G806" s="4">
        <v>0.37990000000000002</v>
      </c>
    </row>
    <row r="807" spans="1:7" x14ac:dyDescent="0.3">
      <c r="A807" s="1" t="s">
        <v>346</v>
      </c>
      <c r="B807" s="1" t="str">
        <f>VLOOKUP(C807,'Code ONU'!$C$1:$E$231,3,FALSE)</f>
        <v>Moyen-Orient</v>
      </c>
      <c r="C807" s="1" t="s">
        <v>347</v>
      </c>
      <c r="D807" s="1">
        <v>2030</v>
      </c>
      <c r="E807" s="7">
        <v>3334</v>
      </c>
      <c r="F807" s="7">
        <v>141.69500000000002</v>
      </c>
      <c r="G807" s="4">
        <v>4.2500000000000003E-2</v>
      </c>
    </row>
    <row r="808" spans="1:7" x14ac:dyDescent="0.3">
      <c r="A808" s="1" t="s">
        <v>618</v>
      </c>
      <c r="B808" s="1" t="str">
        <f>VLOOKUP(C808,'Code ONU'!$C$1:$E$231,3,FALSE)</f>
        <v>Moyen-Orient</v>
      </c>
      <c r="C808" s="1" t="s">
        <v>436</v>
      </c>
      <c r="D808" s="1">
        <v>2030</v>
      </c>
      <c r="E808" s="7">
        <v>89028</v>
      </c>
      <c r="F808" s="7">
        <v>587.58479999999997</v>
      </c>
      <c r="G808" s="4">
        <v>6.6E-3</v>
      </c>
    </row>
    <row r="809" spans="1:7" x14ac:dyDescent="0.3">
      <c r="A809" s="1" t="s">
        <v>639</v>
      </c>
      <c r="B809" s="1" t="str">
        <f>VLOOKUP(C809,'Code ONU'!$C$1:$E$231,3,FALSE)</f>
        <v>Moyen-Orient</v>
      </c>
      <c r="C809" s="1" t="s">
        <v>448</v>
      </c>
      <c r="D809" s="1">
        <v>2030</v>
      </c>
      <c r="E809" s="7">
        <v>12191</v>
      </c>
      <c r="F809" s="7">
        <v>319.4042</v>
      </c>
      <c r="G809" s="4">
        <v>2.6200000000000001E-2</v>
      </c>
    </row>
    <row r="810" spans="1:7" x14ac:dyDescent="0.3">
      <c r="A810" s="1" t="s">
        <v>497</v>
      </c>
      <c r="B810" s="1" t="str">
        <f>VLOOKUP(C810,'Code ONU'!$C$1:$E$231,3,FALSE)</f>
        <v>Europe centrale et orientale</v>
      </c>
      <c r="C810" s="1" t="s">
        <v>76</v>
      </c>
      <c r="D810" s="1">
        <v>2030</v>
      </c>
      <c r="E810" s="7">
        <v>6458</v>
      </c>
      <c r="F810" s="7">
        <v>124.63940000000001</v>
      </c>
      <c r="G810" s="4">
        <v>1.9300000000000001E-2</v>
      </c>
    </row>
    <row r="811" spans="1:7" x14ac:dyDescent="0.3">
      <c r="A811" s="1" t="s">
        <v>641</v>
      </c>
      <c r="B811" s="1" t="str">
        <f>VLOOKUP(C811,'Code ONU'!$C$1:$E$231,3,FALSE)</f>
        <v>Europe centrale et orientale</v>
      </c>
      <c r="C811" s="1" t="s">
        <v>125</v>
      </c>
      <c r="D811" s="1">
        <v>2030</v>
      </c>
      <c r="E811" s="7">
        <v>10425</v>
      </c>
      <c r="F811" s="7">
        <v>244.98750000000001</v>
      </c>
      <c r="G811" s="4">
        <v>2.35E-2</v>
      </c>
    </row>
    <row r="812" spans="1:7" x14ac:dyDescent="0.3">
      <c r="A812" s="1" t="s">
        <v>540</v>
      </c>
      <c r="B812" s="1" t="str">
        <f>VLOOKUP(C812,'Code ONU'!$C$1:$E$231,3,FALSE)</f>
        <v>Europe centrale et orientale</v>
      </c>
      <c r="C812" s="1" t="s">
        <v>203</v>
      </c>
      <c r="D812" s="1">
        <v>2030</v>
      </c>
      <c r="E812" s="7">
        <v>9449</v>
      </c>
      <c r="F812" s="7">
        <v>144.56969999999998</v>
      </c>
      <c r="G812" s="4">
        <v>1.5299999999999999E-2</v>
      </c>
    </row>
    <row r="813" spans="1:7" x14ac:dyDescent="0.3">
      <c r="A813" s="1" t="s">
        <v>583</v>
      </c>
      <c r="B813" s="1" t="str">
        <f>VLOOKUP(C813,'Code ONU'!$C$1:$E$231,3,FALSE)</f>
        <v>Europe centrale et orientale</v>
      </c>
      <c r="C813" s="1" t="s">
        <v>341</v>
      </c>
      <c r="D813" s="1">
        <v>2030</v>
      </c>
      <c r="E813" s="7">
        <v>37199</v>
      </c>
      <c r="F813" s="7">
        <v>926.25509999999997</v>
      </c>
      <c r="G813" s="4">
        <v>2.4899999999999999E-2</v>
      </c>
    </row>
    <row r="814" spans="1:7" x14ac:dyDescent="0.3">
      <c r="A814" s="1" t="s">
        <v>585</v>
      </c>
      <c r="B814" s="1" t="str">
        <f>VLOOKUP(C814,'Code ONU'!$C$1:$E$231,3,FALSE)</f>
        <v>Europe centrale et orientale</v>
      </c>
      <c r="C814" s="1" t="s">
        <v>350</v>
      </c>
      <c r="D814" s="1">
        <v>2030</v>
      </c>
      <c r="E814" s="7">
        <v>2845</v>
      </c>
      <c r="F814" s="7">
        <v>38.692</v>
      </c>
      <c r="G814" s="4">
        <v>1.3599999999999999E-2</v>
      </c>
    </row>
    <row r="815" spans="1:7" x14ac:dyDescent="0.3">
      <c r="A815" s="1" t="s">
        <v>586</v>
      </c>
      <c r="B815" s="1" t="str">
        <f>VLOOKUP(C815,'Code ONU'!$C$1:$E$231,3,FALSE)</f>
        <v>Europe centrale et orientale</v>
      </c>
      <c r="C815" s="1" t="s">
        <v>354</v>
      </c>
      <c r="D815" s="1">
        <v>2030</v>
      </c>
      <c r="E815" s="7">
        <v>18360</v>
      </c>
      <c r="F815" s="7">
        <v>1889.2440000000001</v>
      </c>
      <c r="G815" s="4">
        <v>0.10290000000000001</v>
      </c>
    </row>
    <row r="816" spans="1:7" x14ac:dyDescent="0.3">
      <c r="A816" s="1" t="s">
        <v>587</v>
      </c>
      <c r="B816" s="1" t="str">
        <f>VLOOKUP(C816,'Code ONU'!$C$1:$E$231,3,FALSE)</f>
        <v>Europe centrale et orientale</v>
      </c>
      <c r="C816" s="1" t="s">
        <v>356</v>
      </c>
      <c r="D816" s="1">
        <v>2030</v>
      </c>
      <c r="E816" s="7">
        <v>141889</v>
      </c>
      <c r="F816" s="7">
        <v>610.12270000000001</v>
      </c>
      <c r="G816" s="4">
        <v>4.3E-3</v>
      </c>
    </row>
    <row r="817" spans="1:7" x14ac:dyDescent="0.3">
      <c r="A817" s="1" t="s">
        <v>601</v>
      </c>
      <c r="B817" s="1" t="str">
        <f>VLOOKUP(C817,'Code ONU'!$C$1:$E$231,3,FALSE)</f>
        <v>Europe centrale et orientale</v>
      </c>
      <c r="C817" s="1" t="s">
        <v>392</v>
      </c>
      <c r="D817" s="1">
        <v>2030</v>
      </c>
      <c r="E817" s="7">
        <v>5401</v>
      </c>
      <c r="F817" s="7">
        <v>96.137799999999999</v>
      </c>
      <c r="G817" s="4">
        <v>1.78E-2</v>
      </c>
    </row>
    <row r="818" spans="1:7" x14ac:dyDescent="0.3">
      <c r="A818" s="1" t="s">
        <v>445</v>
      </c>
      <c r="B818" s="1" t="str">
        <f>VLOOKUP(C818,'Code ONU'!$C$1:$E$231,3,FALSE)</f>
        <v>Europe centrale et orientale</v>
      </c>
      <c r="C818" s="1" t="s">
        <v>446</v>
      </c>
      <c r="D818" s="1">
        <v>2030</v>
      </c>
      <c r="E818" s="7">
        <v>38354</v>
      </c>
      <c r="F818" s="7">
        <v>46.024799999999999</v>
      </c>
      <c r="G818" s="4">
        <v>1.1999999999999999E-3</v>
      </c>
    </row>
    <row r="819" spans="1:7" x14ac:dyDescent="0.3">
      <c r="A819" s="1" t="s">
        <v>516</v>
      </c>
      <c r="B819" s="1" t="str">
        <f>VLOOKUP(C819,'Code ONU'!$C$1:$E$231,3,FALSE)</f>
        <v>Europe occidentale</v>
      </c>
      <c r="C819" s="1" t="s">
        <v>131</v>
      </c>
      <c r="D819" s="1">
        <v>2030</v>
      </c>
      <c r="E819" s="7">
        <v>6082</v>
      </c>
      <c r="F819" s="7">
        <v>530.95860000000005</v>
      </c>
      <c r="G819" s="4">
        <v>8.7300000000000003E-2</v>
      </c>
    </row>
    <row r="820" spans="1:7" x14ac:dyDescent="0.3">
      <c r="A820" s="1" t="s">
        <v>523</v>
      </c>
      <c r="B820" s="1" t="str">
        <f>VLOOKUP(C820,'Code ONU'!$C$1:$E$231,3,FALSE)</f>
        <v>Europe occidentale</v>
      </c>
      <c r="C820" s="1" t="s">
        <v>149</v>
      </c>
      <c r="D820" s="1">
        <v>2030</v>
      </c>
      <c r="E820" s="7">
        <v>1303</v>
      </c>
      <c r="F820" s="7">
        <v>18.111699999999999</v>
      </c>
      <c r="G820" s="4">
        <v>1.3899999999999999E-2</v>
      </c>
    </row>
    <row r="821" spans="1:7" x14ac:dyDescent="0.3">
      <c r="A821" s="1" t="s">
        <v>528</v>
      </c>
      <c r="B821" s="1" t="str">
        <f>VLOOKUP(C821,'Code ONU'!$C$1:$E$231,3,FALSE)</f>
        <v>Europe occidentale</v>
      </c>
      <c r="C821" s="1" t="s">
        <v>161</v>
      </c>
      <c r="D821" s="1">
        <v>2030</v>
      </c>
      <c r="E821" s="7">
        <v>5592</v>
      </c>
      <c r="F821" s="7">
        <v>466.93200000000002</v>
      </c>
      <c r="G821" s="4">
        <v>8.3500000000000005E-2</v>
      </c>
    </row>
    <row r="822" spans="1:7" x14ac:dyDescent="0.3">
      <c r="A822" s="1" t="s">
        <v>541</v>
      </c>
      <c r="B822" s="1" t="str">
        <f>VLOOKUP(C822,'Code ONU'!$C$1:$E$231,3,FALSE)</f>
        <v>Europe occidentale</v>
      </c>
      <c r="C822" s="1" t="s">
        <v>205</v>
      </c>
      <c r="D822" s="1">
        <v>2030</v>
      </c>
      <c r="E822" s="7">
        <v>414</v>
      </c>
      <c r="F822" s="7">
        <v>27.779400000000003</v>
      </c>
      <c r="G822" s="4">
        <v>6.7100000000000007E-2</v>
      </c>
    </row>
    <row r="823" spans="1:7" x14ac:dyDescent="0.3">
      <c r="A823" s="1" t="s">
        <v>545</v>
      </c>
      <c r="B823" s="1" t="str">
        <f>VLOOKUP(C823,'Code ONU'!$C$1:$E$231,3,FALSE)</f>
        <v>Europe occidentale</v>
      </c>
      <c r="C823" s="1" t="s">
        <v>215</v>
      </c>
      <c r="D823" s="1">
        <v>2030</v>
      </c>
      <c r="E823" s="7">
        <v>5525</v>
      </c>
      <c r="F823" s="7">
        <v>929.30499999999995</v>
      </c>
      <c r="G823" s="4">
        <v>0.16819999999999999</v>
      </c>
    </row>
    <row r="824" spans="1:7" x14ac:dyDescent="0.3">
      <c r="A824" s="1" t="s">
        <v>555</v>
      </c>
      <c r="B824" s="1" t="str">
        <f>VLOOKUP(C824,'Code ONU'!$C$1:$E$231,3,FALSE)</f>
        <v>Europe occidentale</v>
      </c>
      <c r="C824" s="1" t="s">
        <v>243</v>
      </c>
      <c r="D824" s="1">
        <v>2030</v>
      </c>
      <c r="E824" s="7">
        <v>1778</v>
      </c>
      <c r="F824" s="7">
        <v>22.5806</v>
      </c>
      <c r="G824" s="4">
        <v>1.2699999999999999E-2</v>
      </c>
    </row>
    <row r="825" spans="1:7" x14ac:dyDescent="0.3">
      <c r="A825" s="1" t="s">
        <v>559</v>
      </c>
      <c r="B825" s="1" t="str">
        <f>VLOOKUP(C825,'Code ONU'!$C$1:$E$231,3,FALSE)</f>
        <v>Europe occidentale</v>
      </c>
      <c r="C825" s="1" t="s">
        <v>255</v>
      </c>
      <c r="D825" s="1">
        <v>2030</v>
      </c>
      <c r="E825" s="7">
        <v>2706</v>
      </c>
      <c r="F825" s="7">
        <v>58.449600000000004</v>
      </c>
      <c r="G825" s="4">
        <v>2.1600000000000001E-2</v>
      </c>
    </row>
    <row r="826" spans="1:7" x14ac:dyDescent="0.3">
      <c r="A826" s="1" t="s">
        <v>579</v>
      </c>
      <c r="B826" s="1" t="str">
        <f>VLOOKUP(C826,'Code ONU'!$C$1:$E$231,3,FALSE)</f>
        <v>Europe occidentale</v>
      </c>
      <c r="C826" s="1" t="s">
        <v>323</v>
      </c>
      <c r="D826" s="1">
        <v>2030</v>
      </c>
      <c r="E826" s="7">
        <v>5729</v>
      </c>
      <c r="F826" s="7">
        <v>411.34219999999999</v>
      </c>
      <c r="G826" s="4">
        <v>7.1800000000000003E-2</v>
      </c>
    </row>
    <row r="827" spans="1:7" x14ac:dyDescent="0.3">
      <c r="A827" s="1" t="s">
        <v>610</v>
      </c>
      <c r="B827" s="1" t="str">
        <f>VLOOKUP(C827,'Code ONU'!$C$1:$E$231,3,FALSE)</f>
        <v>Europe occidentale</v>
      </c>
      <c r="C827" s="1" t="s">
        <v>414</v>
      </c>
      <c r="D827" s="1">
        <v>2030</v>
      </c>
      <c r="E827" s="7">
        <v>10842</v>
      </c>
      <c r="F827" s="7">
        <v>765.4452</v>
      </c>
      <c r="G827" s="4">
        <v>7.0599999999999996E-2</v>
      </c>
    </row>
    <row r="828" spans="1:7" x14ac:dyDescent="0.3">
      <c r="A828" s="1" t="s">
        <v>623</v>
      </c>
      <c r="B828" s="1" t="str">
        <f>VLOOKUP(C828,'Code ONU'!$C$1:$E$231,3,FALSE)</f>
        <v>Europe occidentale</v>
      </c>
      <c r="C828" s="1" t="s">
        <v>450</v>
      </c>
      <c r="D828" s="1">
        <v>2030</v>
      </c>
      <c r="E828" s="7">
        <v>71287</v>
      </c>
      <c r="F828" s="7">
        <v>11797.9985</v>
      </c>
      <c r="G828" s="4">
        <v>0.16550000000000001</v>
      </c>
    </row>
    <row r="829" spans="1:7" x14ac:dyDescent="0.3">
      <c r="A829" s="1" t="s">
        <v>475</v>
      </c>
      <c r="B829" s="1" t="str">
        <f>VLOOKUP(C829,'Code ONU'!$C$1:$E$231,3,FALSE)</f>
        <v>Europe centrale et orientale</v>
      </c>
      <c r="C829" s="1" t="s">
        <v>8</v>
      </c>
      <c r="D829" s="1">
        <v>2030</v>
      </c>
      <c r="E829" s="7">
        <v>2672</v>
      </c>
      <c r="F829" s="7">
        <v>27.788799999999998</v>
      </c>
      <c r="G829" s="4">
        <v>1.04E-2</v>
      </c>
    </row>
    <row r="830" spans="1:7" x14ac:dyDescent="0.3">
      <c r="A830" s="1" t="s">
        <v>478</v>
      </c>
      <c r="B830" s="1" t="str">
        <f>VLOOKUP(C830,'Code ONU'!$C$1:$E$231,3,FALSE)</f>
        <v>Europe occidentale</v>
      </c>
      <c r="C830" s="1" t="s">
        <v>17</v>
      </c>
      <c r="D830" s="1">
        <v>2030</v>
      </c>
      <c r="E830" s="7">
        <v>86</v>
      </c>
      <c r="F830" s="7">
        <v>60.303200000000004</v>
      </c>
      <c r="G830" s="4">
        <v>0.70120000000000005</v>
      </c>
    </row>
    <row r="831" spans="1:7" x14ac:dyDescent="0.3">
      <c r="A831" s="1" t="s">
        <v>493</v>
      </c>
      <c r="B831" s="1" t="str">
        <f>VLOOKUP(C831,'Code ONU'!$C$1:$E$231,3,FALSE)</f>
        <v>Europe centrale et orientale</v>
      </c>
      <c r="C831" s="1" t="s">
        <v>65</v>
      </c>
      <c r="D831" s="1">
        <v>2030</v>
      </c>
      <c r="E831" s="7">
        <v>3014</v>
      </c>
      <c r="F831" s="7">
        <v>22.906400000000001</v>
      </c>
      <c r="G831" s="4">
        <v>7.6E-3</v>
      </c>
    </row>
    <row r="832" spans="1:7" x14ac:dyDescent="0.3">
      <c r="A832" s="1" t="s">
        <v>511</v>
      </c>
      <c r="B832" s="1" t="str">
        <f>VLOOKUP(C832,'Code ONU'!$C$1:$E$231,3,FALSE)</f>
        <v>Europe centrale et orientale</v>
      </c>
      <c r="C832" s="1" t="s">
        <v>117</v>
      </c>
      <c r="D832" s="1">
        <v>2030</v>
      </c>
      <c r="E832" s="7">
        <v>3726</v>
      </c>
      <c r="F832" s="7">
        <v>67.813200000000009</v>
      </c>
      <c r="G832" s="4">
        <v>1.8200000000000001E-2</v>
      </c>
    </row>
    <row r="833" spans="1:7" x14ac:dyDescent="0.3">
      <c r="A833" s="1" t="s">
        <v>534</v>
      </c>
      <c r="B833" s="1" t="str">
        <f>VLOOKUP(C833,'Code ONU'!$C$1:$E$231,3,FALSE)</f>
        <v>Europe occidentale</v>
      </c>
      <c r="C833" s="1" t="s">
        <v>181</v>
      </c>
      <c r="D833" s="1">
        <v>2030</v>
      </c>
      <c r="E833" s="7">
        <v>9722</v>
      </c>
      <c r="F833" s="7">
        <v>592.06979999999999</v>
      </c>
      <c r="G833" s="4">
        <v>6.0900000000000003E-2</v>
      </c>
    </row>
    <row r="834" spans="1:7" x14ac:dyDescent="0.3">
      <c r="A834" s="1" t="s">
        <v>548</v>
      </c>
      <c r="B834" s="1" t="str">
        <f>VLOOKUP(C834,'Code ONU'!$C$1:$E$231,3,FALSE)</f>
        <v>Europe occidentale</v>
      </c>
      <c r="C834" s="1" t="s">
        <v>221</v>
      </c>
      <c r="D834" s="1">
        <v>2030</v>
      </c>
      <c r="E834" s="7">
        <v>57946</v>
      </c>
      <c r="F834" s="7">
        <v>12168.66</v>
      </c>
      <c r="G834" s="4">
        <v>0.21</v>
      </c>
    </row>
    <row r="835" spans="1:7" x14ac:dyDescent="0.3">
      <c r="A835" s="1" t="s">
        <v>234</v>
      </c>
      <c r="B835" s="1" t="str">
        <f>VLOOKUP(C835,'Code ONU'!$C$1:$E$231,3,FALSE)</f>
        <v>Europe centrale et orientale</v>
      </c>
      <c r="C835" s="1" t="s">
        <v>235</v>
      </c>
      <c r="D835" s="1">
        <v>2030</v>
      </c>
      <c r="E835" s="7">
        <v>1661</v>
      </c>
      <c r="F835" s="7">
        <v>23.420099999999998</v>
      </c>
      <c r="G835" s="4">
        <v>1.41E-2</v>
      </c>
    </row>
    <row r="836" spans="1:7" x14ac:dyDescent="0.3">
      <c r="A836" s="1" t="s">
        <v>561</v>
      </c>
      <c r="B836" s="1" t="str">
        <f>VLOOKUP(C836,'Code ONU'!$C$1:$E$231,3,FALSE)</f>
        <v>Europe occidentale</v>
      </c>
      <c r="C836" s="1" t="s">
        <v>269</v>
      </c>
      <c r="D836" s="1">
        <v>2030</v>
      </c>
      <c r="E836" s="7">
        <v>555</v>
      </c>
      <c r="F836" s="7">
        <v>72.039000000000001</v>
      </c>
      <c r="G836" s="4">
        <v>0.1298</v>
      </c>
    </row>
    <row r="837" spans="1:7" x14ac:dyDescent="0.3">
      <c r="A837" s="1" t="s">
        <v>568</v>
      </c>
      <c r="B837" s="1" t="str">
        <f>VLOOKUP(C837,'Code ONU'!$C$1:$E$231,3,FALSE)</f>
        <v>Europe centrale et orientale</v>
      </c>
      <c r="C837" s="1" t="s">
        <v>289</v>
      </c>
      <c r="D837" s="1">
        <v>2030</v>
      </c>
      <c r="E837" s="7">
        <v>613</v>
      </c>
      <c r="F837" s="7">
        <v>12.566500000000001</v>
      </c>
      <c r="G837" s="4">
        <v>2.0500000000000001E-2</v>
      </c>
    </row>
    <row r="838" spans="1:7" x14ac:dyDescent="0.3">
      <c r="A838" s="1" t="s">
        <v>577</v>
      </c>
      <c r="B838" s="1" t="str">
        <f>VLOOKUP(C838,'Code ONU'!$C$1:$E$231,3,FALSE)</f>
        <v>Europe centrale et orientale</v>
      </c>
      <c r="C838" s="1" t="s">
        <v>319</v>
      </c>
      <c r="D838" s="1">
        <v>2030</v>
      </c>
      <c r="E838" s="7">
        <v>1762</v>
      </c>
      <c r="F838" s="7">
        <v>34.006599999999999</v>
      </c>
      <c r="G838" s="4">
        <v>1.9300000000000001E-2</v>
      </c>
    </row>
    <row r="839" spans="1:7" x14ac:dyDescent="0.3">
      <c r="A839" s="1" t="s">
        <v>342</v>
      </c>
      <c r="B839" s="1" t="str">
        <f>VLOOKUP(C839,'Code ONU'!$C$1:$E$231,3,FALSE)</f>
        <v>Europe occidentale</v>
      </c>
      <c r="C839" s="1" t="s">
        <v>343</v>
      </c>
      <c r="D839" s="1">
        <v>2030</v>
      </c>
      <c r="E839" s="7">
        <v>10318</v>
      </c>
      <c r="F839" s="7">
        <v>2517.5920000000001</v>
      </c>
      <c r="G839" s="4">
        <v>0.24399999999999999</v>
      </c>
    </row>
    <row r="840" spans="1:7" x14ac:dyDescent="0.3">
      <c r="A840" s="1" t="s">
        <v>598</v>
      </c>
      <c r="B840" s="1" t="str">
        <f>VLOOKUP(C840,'Code ONU'!$C$1:$E$231,3,FALSE)</f>
        <v>Europe centrale et orientale</v>
      </c>
      <c r="C840" s="1" t="s">
        <v>382</v>
      </c>
      <c r="D840" s="1">
        <v>2030</v>
      </c>
      <c r="E840" s="7">
        <v>6461</v>
      </c>
      <c r="F840" s="7">
        <v>535.61689999999999</v>
      </c>
      <c r="G840" s="4">
        <v>8.2900000000000001E-2</v>
      </c>
    </row>
    <row r="841" spans="1:7" x14ac:dyDescent="0.3">
      <c r="A841" s="1" t="s">
        <v>602</v>
      </c>
      <c r="B841" s="1" t="str">
        <f>VLOOKUP(C841,'Code ONU'!$C$1:$E$231,3,FALSE)</f>
        <v>Europe centrale et orientale</v>
      </c>
      <c r="C841" s="1" t="s">
        <v>394</v>
      </c>
      <c r="D841" s="1">
        <v>2030</v>
      </c>
      <c r="E841" s="7">
        <v>2099</v>
      </c>
      <c r="F841" s="7">
        <v>85.639200000000002</v>
      </c>
      <c r="G841" s="4">
        <v>4.0800000000000003E-2</v>
      </c>
    </row>
    <row r="842" spans="1:7" x14ac:dyDescent="0.3">
      <c r="A842" s="1" t="s">
        <v>607</v>
      </c>
      <c r="B842" s="1" t="str">
        <f>VLOOKUP(C842,'Code ONU'!$C$1:$E$231,3,FALSE)</f>
        <v>Europe occidentale</v>
      </c>
      <c r="C842" s="1" t="s">
        <v>404</v>
      </c>
      <c r="D842" s="1">
        <v>2030</v>
      </c>
      <c r="E842" s="7">
        <v>47611</v>
      </c>
      <c r="F842" s="7">
        <v>5713.32</v>
      </c>
      <c r="G842" s="4">
        <v>0.12</v>
      </c>
    </row>
    <row r="843" spans="1:7" x14ac:dyDescent="0.3">
      <c r="A843" s="1" t="s">
        <v>483</v>
      </c>
      <c r="B843" s="1" t="str">
        <f>VLOOKUP(C843,'Code ONU'!$C$1:$E$231,3,FALSE)</f>
        <v>Europe occidentale</v>
      </c>
      <c r="C843" s="1" t="s">
        <v>38</v>
      </c>
      <c r="D843" s="1">
        <v>2030</v>
      </c>
      <c r="E843" s="7">
        <v>9080</v>
      </c>
      <c r="F843" s="7">
        <v>913.44799999999998</v>
      </c>
      <c r="G843" s="4">
        <v>0.10059999999999999</v>
      </c>
    </row>
    <row r="844" spans="1:7" x14ac:dyDescent="0.3">
      <c r="A844" s="1" t="s">
        <v>488</v>
      </c>
      <c r="B844" s="1" t="str">
        <f>VLOOKUP(C844,'Code ONU'!$C$1:$E$231,3,FALSE)</f>
        <v>Europe occidentale</v>
      </c>
      <c r="C844" s="1" t="s">
        <v>52</v>
      </c>
      <c r="D844" s="1">
        <v>2030</v>
      </c>
      <c r="E844" s="7">
        <v>11824</v>
      </c>
      <c r="F844" s="7">
        <v>9112.756800000001</v>
      </c>
      <c r="G844" s="4">
        <v>0.77070000000000005</v>
      </c>
    </row>
    <row r="845" spans="1:7" x14ac:dyDescent="0.3">
      <c r="A845" s="1" t="s">
        <v>162</v>
      </c>
      <c r="B845" s="1" t="str">
        <f>VLOOKUP(C845,'Code ONU'!$C$1:$E$231,3,FALSE)</f>
        <v>Europe occidentale</v>
      </c>
      <c r="C845" s="1" t="s">
        <v>163</v>
      </c>
      <c r="D845" s="1">
        <v>2030</v>
      </c>
      <c r="E845" s="7">
        <v>67108</v>
      </c>
      <c r="F845" s="7">
        <v>64859.882000000005</v>
      </c>
      <c r="G845" s="4">
        <v>0.96650000000000003</v>
      </c>
    </row>
    <row r="846" spans="1:7" x14ac:dyDescent="0.3">
      <c r="A846" s="1" t="s">
        <v>533</v>
      </c>
      <c r="B846" s="1" t="str">
        <f>VLOOKUP(C846,'Code ONU'!$C$1:$E$231,3,FALSE)</f>
        <v>Europe occidentale</v>
      </c>
      <c r="C846" s="1" t="s">
        <v>175</v>
      </c>
      <c r="D846" s="1">
        <v>2030</v>
      </c>
      <c r="E846" s="7">
        <v>82781</v>
      </c>
      <c r="F846" s="7">
        <v>14304.5568</v>
      </c>
      <c r="G846" s="4">
        <v>0.17280000000000001</v>
      </c>
    </row>
    <row r="847" spans="1:7" x14ac:dyDescent="0.3">
      <c r="A847" s="1" t="s">
        <v>256</v>
      </c>
      <c r="B847" s="1" t="str">
        <f>VLOOKUP(C847,'Code ONU'!$C$1:$E$231,3,FALSE)</f>
        <v>Europe occidentale</v>
      </c>
      <c r="C847" s="1" t="s">
        <v>257</v>
      </c>
      <c r="D847" s="1">
        <v>2030</v>
      </c>
      <c r="E847" s="7">
        <v>714</v>
      </c>
      <c r="F847" s="7">
        <v>646.02719999999999</v>
      </c>
      <c r="G847" s="4">
        <v>0.90480000000000005</v>
      </c>
    </row>
    <row r="848" spans="1:7" x14ac:dyDescent="0.3">
      <c r="A848" s="1" t="s">
        <v>284</v>
      </c>
      <c r="B848" s="1" t="str">
        <f>VLOOKUP(C848,'Code ONU'!$C$1:$E$231,3,FALSE)</f>
        <v>Europe occidentale</v>
      </c>
      <c r="C848" s="1" t="s">
        <v>285</v>
      </c>
      <c r="D848" s="1">
        <v>2030</v>
      </c>
      <c r="E848" s="7">
        <v>37</v>
      </c>
      <c r="F848" s="7">
        <v>35.856699999999996</v>
      </c>
      <c r="G848" s="4">
        <v>0.96909999999999996</v>
      </c>
    </row>
    <row r="849" spans="1:7" x14ac:dyDescent="0.3">
      <c r="A849" s="1" t="s">
        <v>572</v>
      </c>
      <c r="B849" s="1" t="str">
        <f>VLOOKUP(C849,'Code ONU'!$C$1:$E$231,3,FALSE)</f>
        <v>Europe occidentale</v>
      </c>
      <c r="C849" s="1" t="s">
        <v>305</v>
      </c>
      <c r="D849" s="1">
        <v>2030</v>
      </c>
      <c r="E849" s="7">
        <v>18757</v>
      </c>
      <c r="F849" s="7">
        <v>5188.1862000000001</v>
      </c>
      <c r="G849" s="4">
        <v>0.27660000000000001</v>
      </c>
    </row>
    <row r="850" spans="1:7" x14ac:dyDescent="0.3">
      <c r="A850" s="1" t="s">
        <v>611</v>
      </c>
      <c r="B850" s="1" t="str">
        <f>VLOOKUP(C850,'Code ONU'!$C$1:$E$231,3,FALSE)</f>
        <v>Europe occidentale</v>
      </c>
      <c r="C850" s="1" t="s">
        <v>416</v>
      </c>
      <c r="D850" s="1">
        <v>2030</v>
      </c>
      <c r="E850" s="7">
        <v>9130</v>
      </c>
      <c r="F850" s="7">
        <v>6146.3159999999998</v>
      </c>
      <c r="G850" s="4">
        <v>0.67320000000000002</v>
      </c>
    </row>
    <row r="851" spans="1:7" x14ac:dyDescent="0.3">
      <c r="A851" s="1" t="s">
        <v>517</v>
      </c>
      <c r="B851" s="1" t="str">
        <f>VLOOKUP(C851,'Code ONU'!$C$1:$E$231,3,FALSE)</f>
        <v>Caraïbes</v>
      </c>
      <c r="C851" s="1" t="s">
        <v>135</v>
      </c>
      <c r="D851" s="1">
        <v>2030</v>
      </c>
      <c r="E851" s="7">
        <v>64</v>
      </c>
      <c r="F851" s="7">
        <v>6.1375999999999999</v>
      </c>
      <c r="G851" s="4">
        <v>9.5899999999999999E-2</v>
      </c>
    </row>
    <row r="852" spans="1:7" x14ac:dyDescent="0.3">
      <c r="A852" s="1" t="s">
        <v>518</v>
      </c>
      <c r="B852" s="1" t="str">
        <f>VLOOKUP(C852,'Code ONU'!$C$1:$E$231,3,FALSE)</f>
        <v>Caraïbes</v>
      </c>
      <c r="C852" s="1" t="s">
        <v>137</v>
      </c>
      <c r="D852" s="1">
        <v>2030</v>
      </c>
      <c r="E852" s="7">
        <v>11939</v>
      </c>
      <c r="F852" s="7">
        <v>171.92159999999998</v>
      </c>
      <c r="G852" s="4">
        <v>1.44E-2</v>
      </c>
    </row>
    <row r="853" spans="1:7" x14ac:dyDescent="0.3">
      <c r="A853" s="1" t="s">
        <v>186</v>
      </c>
      <c r="B853" s="1" t="str">
        <f>VLOOKUP(C853,'Code ONU'!$C$1:$E$231,3,FALSE)</f>
        <v>Caraïbes</v>
      </c>
      <c r="C853" s="1" t="s">
        <v>187</v>
      </c>
      <c r="D853" s="1">
        <v>2030</v>
      </c>
      <c r="E853" s="7">
        <v>366</v>
      </c>
      <c r="F853" s="7">
        <v>307.44</v>
      </c>
      <c r="G853" s="4">
        <v>0.84</v>
      </c>
    </row>
    <row r="854" spans="1:7" x14ac:dyDescent="0.3">
      <c r="A854" s="1" t="s">
        <v>539</v>
      </c>
      <c r="B854" s="1" t="str">
        <f>VLOOKUP(C854,'Code ONU'!$C$1:$E$231,3,FALSE)</f>
        <v>Caraïbes</v>
      </c>
      <c r="C854" s="1" t="s">
        <v>199</v>
      </c>
      <c r="D854" s="1">
        <v>2030</v>
      </c>
      <c r="E854" s="7">
        <v>12552</v>
      </c>
      <c r="F854" s="7">
        <v>5271.84</v>
      </c>
      <c r="G854" s="4">
        <v>0.42</v>
      </c>
    </row>
    <row r="855" spans="1:7" x14ac:dyDescent="0.3">
      <c r="A855" s="1" t="s">
        <v>272</v>
      </c>
      <c r="B855" s="1" t="str">
        <f>VLOOKUP(C855,'Code ONU'!$C$1:$E$231,3,FALSE)</f>
        <v>Caraïbes</v>
      </c>
      <c r="C855" s="1" t="s">
        <v>273</v>
      </c>
      <c r="D855" s="1">
        <v>2030</v>
      </c>
      <c r="E855" s="7">
        <v>328</v>
      </c>
      <c r="F855" s="7">
        <v>265.68</v>
      </c>
      <c r="G855" s="4">
        <v>0.81</v>
      </c>
    </row>
    <row r="856" spans="1:7" x14ac:dyDescent="0.3">
      <c r="A856" s="1" t="s">
        <v>584</v>
      </c>
      <c r="B856" s="1" t="str">
        <f>VLOOKUP(C856,'Code ONU'!$C$1:$E$231,3,FALSE)</f>
        <v>Caraïbes</v>
      </c>
      <c r="C856" s="1" t="s">
        <v>345</v>
      </c>
      <c r="D856" s="1">
        <v>2030</v>
      </c>
      <c r="E856" s="7">
        <v>3141</v>
      </c>
      <c r="F856" s="7">
        <v>2.5127999999999999</v>
      </c>
      <c r="G856" s="4">
        <v>8.0000000000000004E-4</v>
      </c>
    </row>
    <row r="857" spans="1:7" x14ac:dyDescent="0.3">
      <c r="A857" s="1" t="s">
        <v>588</v>
      </c>
      <c r="B857" s="1" t="str">
        <f>VLOOKUP(C857,'Code ONU'!$C$1:$E$231,3,FALSE)</f>
        <v>Caraïbes</v>
      </c>
      <c r="C857" s="1" t="s">
        <v>360</v>
      </c>
      <c r="D857" s="1">
        <v>2030</v>
      </c>
      <c r="E857" s="7">
        <v>12</v>
      </c>
      <c r="F857" s="7">
        <v>10.08</v>
      </c>
      <c r="G857" s="4">
        <v>0.84</v>
      </c>
    </row>
    <row r="858" spans="1:7" x14ac:dyDescent="0.3">
      <c r="A858" s="1" t="s">
        <v>591</v>
      </c>
      <c r="B858" s="1" t="str">
        <f>VLOOKUP(C858,'Code ONU'!$C$1:$E$231,3,FALSE)</f>
        <v>Caraïbes</v>
      </c>
      <c r="C858" s="1" t="s">
        <v>366</v>
      </c>
      <c r="D858" s="1">
        <v>2030</v>
      </c>
      <c r="E858" s="7">
        <v>181</v>
      </c>
      <c r="F858" s="7">
        <v>2.9321999999999999</v>
      </c>
      <c r="G858" s="4">
        <v>1.6199999999999999E-2</v>
      </c>
    </row>
    <row r="859" spans="1:7" x14ac:dyDescent="0.3">
      <c r="A859" s="1" t="s">
        <v>592</v>
      </c>
      <c r="B859" s="1" t="str">
        <f>VLOOKUP(C859,'Code ONU'!$C$1:$E$231,3,FALSE)</f>
        <v>Caraïbes</v>
      </c>
      <c r="C859" s="1" t="s">
        <v>368</v>
      </c>
      <c r="D859" s="1">
        <v>2030</v>
      </c>
      <c r="E859" s="7">
        <v>21</v>
      </c>
      <c r="F859" s="7">
        <v>17.64</v>
      </c>
      <c r="G859" s="4">
        <v>0.84</v>
      </c>
    </row>
    <row r="860" spans="1:7" x14ac:dyDescent="0.3">
      <c r="A860" s="1" t="s">
        <v>626</v>
      </c>
      <c r="B860" s="1" t="str">
        <f>VLOOKUP(C860,'Code ONU'!$C$1:$E$231,3,FALSE)</f>
        <v>Caraïbes</v>
      </c>
      <c r="C860" s="1" t="s">
        <v>456</v>
      </c>
      <c r="D860" s="1">
        <v>2030</v>
      </c>
      <c r="E860" s="7">
        <v>81</v>
      </c>
      <c r="F860" s="7">
        <v>7.1523000000000003</v>
      </c>
      <c r="G860" s="4">
        <v>8.8300000000000003E-2</v>
      </c>
    </row>
    <row r="861" spans="1:7" x14ac:dyDescent="0.3">
      <c r="A861" s="1" t="s">
        <v>112</v>
      </c>
      <c r="B861" s="1" t="str">
        <f>VLOOKUP(C861,'Code ONU'!$C$1:$E$231,3,FALSE)</f>
        <v>Amériques</v>
      </c>
      <c r="C861" s="1" t="s">
        <v>113</v>
      </c>
      <c r="D861" s="1">
        <v>2030</v>
      </c>
      <c r="E861" s="7">
        <v>5251</v>
      </c>
      <c r="F861" s="7">
        <v>5.2510000000000003</v>
      </c>
      <c r="G861" s="4">
        <v>1E-3</v>
      </c>
    </row>
    <row r="862" spans="1:7" x14ac:dyDescent="0.3">
      <c r="A862" s="1" t="s">
        <v>565</v>
      </c>
      <c r="B862" s="1" t="str">
        <f>VLOOKUP(C862,'Code ONU'!$C$1:$E$231,3,FALSE)</f>
        <v>Amériques</v>
      </c>
      <c r="C862" s="1" t="s">
        <v>281</v>
      </c>
      <c r="D862" s="1">
        <v>2030</v>
      </c>
      <c r="E862" s="7">
        <v>136905</v>
      </c>
      <c r="F862" s="7">
        <v>27.381</v>
      </c>
      <c r="G862" s="4">
        <v>2.0000000000000001E-4</v>
      </c>
    </row>
    <row r="863" spans="1:7" x14ac:dyDescent="0.3">
      <c r="A863" s="1" t="s">
        <v>507</v>
      </c>
      <c r="B863" s="1" t="str">
        <f>VLOOKUP(C863,'Code ONU'!$C$1:$E$231,3,FALSE)</f>
        <v>Amériques</v>
      </c>
      <c r="C863" s="1" t="s">
        <v>105</v>
      </c>
      <c r="D863" s="1">
        <v>2030</v>
      </c>
      <c r="E863" s="7">
        <v>55736</v>
      </c>
      <c r="F863" s="7">
        <v>5.5735999999999999</v>
      </c>
      <c r="G863" s="4">
        <v>1E-4</v>
      </c>
    </row>
    <row r="864" spans="1:7" x14ac:dyDescent="0.3">
      <c r="A864" s="1" t="s">
        <v>529</v>
      </c>
      <c r="B864" s="1" t="str">
        <f>VLOOKUP(C864,'Code ONU'!$C$1:$E$231,3,FALSE)</f>
        <v>Amériques</v>
      </c>
      <c r="C864" s="1" t="s">
        <v>165</v>
      </c>
      <c r="D864" s="1">
        <v>2030</v>
      </c>
      <c r="E864" s="7">
        <v>342</v>
      </c>
      <c r="F864" s="7">
        <v>212.04</v>
      </c>
      <c r="G864" s="4">
        <v>0.62</v>
      </c>
    </row>
    <row r="865" spans="1:7" x14ac:dyDescent="0.3">
      <c r="A865" s="1" t="s">
        <v>334</v>
      </c>
      <c r="B865" s="1" t="str">
        <f>VLOOKUP(C865,'Code ONU'!$C$1:$E$231,3,FALSE)</f>
        <v>Amériques</v>
      </c>
      <c r="C865" s="1" t="s">
        <v>335</v>
      </c>
      <c r="D865" s="1">
        <v>2030</v>
      </c>
      <c r="E865" s="7">
        <v>7408</v>
      </c>
      <c r="F865" s="7">
        <v>14.816000000000001</v>
      </c>
      <c r="G865" s="4">
        <v>2E-3</v>
      </c>
    </row>
    <row r="866" spans="1:7" x14ac:dyDescent="0.3">
      <c r="A866" s="1" t="s">
        <v>411</v>
      </c>
      <c r="B866" s="1" t="str">
        <f>VLOOKUP(C866,'Code ONU'!$C$1:$E$231,3,FALSE)</f>
        <v>Amériques</v>
      </c>
      <c r="C866" s="1" t="s">
        <v>412</v>
      </c>
      <c r="D866" s="1">
        <v>2030</v>
      </c>
      <c r="E866" s="7">
        <v>666</v>
      </c>
      <c r="F866" s="7">
        <v>1.1321999999999999</v>
      </c>
      <c r="G866" s="4">
        <v>1.6999999999999999E-3</v>
      </c>
    </row>
    <row r="867" spans="1:7" x14ac:dyDescent="0.3">
      <c r="A867" s="1" t="s">
        <v>457</v>
      </c>
      <c r="B867" s="1" t="str">
        <f>VLOOKUP(C867,'Code ONU'!$C$1:$E$231,3,FALSE)</f>
        <v>Amériques</v>
      </c>
      <c r="C867" s="1" t="s">
        <v>458</v>
      </c>
      <c r="D867" s="1">
        <v>2030</v>
      </c>
      <c r="E867" s="7">
        <v>3373</v>
      </c>
      <c r="F867" s="7">
        <v>5.0594999999999999</v>
      </c>
      <c r="G867" s="4">
        <v>1.5E-3</v>
      </c>
    </row>
    <row r="868" spans="1:7" x14ac:dyDescent="0.3">
      <c r="A868" s="1" t="s">
        <v>88</v>
      </c>
      <c r="B868" s="1" t="str">
        <f>VLOOKUP(C868,'Code ONU'!$C$1:$E$231,3,FALSE)</f>
        <v>Amériques</v>
      </c>
      <c r="C868" s="1" t="s">
        <v>89</v>
      </c>
      <c r="D868" s="1">
        <v>2030</v>
      </c>
      <c r="E868" s="7">
        <v>41656</v>
      </c>
      <c r="F868" s="7">
        <v>11401.2472</v>
      </c>
      <c r="G868" s="4">
        <v>0.2737</v>
      </c>
    </row>
    <row r="869" spans="1:7" x14ac:dyDescent="0.3">
      <c r="A869" s="1" t="s">
        <v>593</v>
      </c>
      <c r="B869" s="1" t="str">
        <f>VLOOKUP(C869,'Code ONU'!$C$1:$E$231,3,FALSE)</f>
        <v>Amériques</v>
      </c>
      <c r="C869" s="1" t="s">
        <v>370</v>
      </c>
      <c r="D869" s="1">
        <v>2030</v>
      </c>
      <c r="E869" s="7">
        <v>5</v>
      </c>
      <c r="F869" s="7">
        <v>5</v>
      </c>
      <c r="G869" s="4">
        <v>1</v>
      </c>
    </row>
    <row r="870" spans="1:7" x14ac:dyDescent="0.3">
      <c r="A870" s="1" t="s">
        <v>640</v>
      </c>
      <c r="B870" s="1" t="str">
        <f>VLOOKUP(C870,'Code ONU'!$C$1:$E$231,3,FALSE)</f>
        <v>Amériques</v>
      </c>
      <c r="C870" s="1" t="s">
        <v>454</v>
      </c>
      <c r="D870" s="1">
        <v>2030</v>
      </c>
      <c r="E870" s="7">
        <v>355650</v>
      </c>
      <c r="F870" s="7">
        <v>2276.1600000000003</v>
      </c>
      <c r="G870" s="4">
        <v>6.4000000000000003E-3</v>
      </c>
    </row>
    <row r="871" spans="1:7" x14ac:dyDescent="0.3">
      <c r="A871" s="1" t="s">
        <v>573</v>
      </c>
      <c r="B871" s="1" t="str">
        <f>VLOOKUP(C871,'Code ONU'!$C$1:$E$231,3,FALSE)</f>
        <v>Océanie</v>
      </c>
      <c r="C871" s="1" t="s">
        <v>307</v>
      </c>
      <c r="D871" s="1">
        <v>2030</v>
      </c>
      <c r="E871" s="7">
        <v>308</v>
      </c>
      <c r="F871" s="7">
        <v>304.61200000000002</v>
      </c>
      <c r="G871" s="4">
        <v>0.98899999999999999</v>
      </c>
    </row>
    <row r="872" spans="1:7" x14ac:dyDescent="0.3">
      <c r="A872" s="1" t="s">
        <v>461</v>
      </c>
      <c r="B872" s="1" t="str">
        <f>VLOOKUP(C872,'Code ONU'!$C$1:$E$231,3,FALSE)</f>
        <v>Océanie</v>
      </c>
      <c r="C872" s="1" t="s">
        <v>462</v>
      </c>
      <c r="D872" s="1">
        <v>2030</v>
      </c>
      <c r="E872" s="7">
        <v>372</v>
      </c>
      <c r="F872" s="7">
        <v>89.28</v>
      </c>
      <c r="G872" s="4">
        <v>0.24</v>
      </c>
    </row>
    <row r="873" spans="1:7" x14ac:dyDescent="0.3">
      <c r="A873" s="1" t="s">
        <v>530</v>
      </c>
      <c r="B873" s="1" t="str">
        <f>VLOOKUP(C873,'Code ONU'!$C$1:$E$231,3,FALSE)</f>
        <v>Océanie</v>
      </c>
      <c r="C873" s="1" t="s">
        <v>167</v>
      </c>
      <c r="D873" s="1">
        <v>2030</v>
      </c>
      <c r="E873" s="7">
        <v>286</v>
      </c>
      <c r="F873" s="7">
        <v>279.565</v>
      </c>
      <c r="G873" s="4">
        <v>0.97750000000000004</v>
      </c>
    </row>
    <row r="874" spans="1:7" x14ac:dyDescent="0.3">
      <c r="A874" s="1" t="s">
        <v>629</v>
      </c>
      <c r="B874" s="1" t="str">
        <f>VLOOKUP(C874,'Code ONU'!$C$1:$E$231,3,FALSE)</f>
        <v>Océanie</v>
      </c>
      <c r="C874" s="1" t="s">
        <v>468</v>
      </c>
      <c r="D874" s="1">
        <v>2030</v>
      </c>
      <c r="E874" s="7">
        <v>11</v>
      </c>
      <c r="F874" s="7">
        <v>9.7064000000000004</v>
      </c>
      <c r="G874" s="4">
        <v>0.88239999999999996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Code ONU</vt:lpstr>
      <vt:lpstr>Nombre francophones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Iliass BOUNOU</dc:creator>
  <cp:lastModifiedBy>Iliass BOUNOU</cp:lastModifiedBy>
  <dcterms:created xsi:type="dcterms:W3CDTF">2025-10-16T13:45:53Z</dcterms:created>
  <dcterms:modified xsi:type="dcterms:W3CDTF">2025-11-12T20:31:47Z</dcterms:modified>
</cp:coreProperties>
</file>